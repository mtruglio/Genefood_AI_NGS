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BEDFILE" sheetId="1" state="visible" r:id="rId3"/>
    <sheet name="RISCHIO PESO 3.0" sheetId="2" state="visible" r:id="rId4"/>
    <sheet name="RISCHIO T2D 3.0" sheetId="3" state="visible" r:id="rId5"/>
    <sheet name="RISCHIO CARDIO 3.0" sheetId="4" state="visible" r:id="rId6"/>
    <sheet name="RIS PLUS3.0" sheetId="5" state="visible" r:id="rId7"/>
    <sheet name="RISCHIO VITA 3.0" sheetId="6" state="visible" r:id="rId8"/>
    <sheet name="RISCHIO SPORT" sheetId="7" state="visible" r:id="rId9"/>
    <sheet name="RISCHIO AGING " sheetId="8" state="visible" r:id="rId10"/>
    <sheet name="RISCHIO MAMMA" sheetId="9" state="visible" r:id="rId11"/>
  </sheets>
  <definedNames>
    <definedName function="false" hidden="true" localSheetId="4" name="_xlnm._FilterDatabase" vbProcedure="false">'RIS PLUS3.0'!$A$1:$AMG$1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<sst xmlns="http://schemas.openxmlformats.org/spreadsheetml/2006/main" count="1959" uniqueCount="424">
  <si>
    <t xml:space="preserve">GENE</t>
  </si>
  <si>
    <t xml:space="preserve">SNP</t>
  </si>
  <si>
    <t xml:space="preserve">PESO</t>
  </si>
  <si>
    <t xml:space="preserve">T2D</t>
  </si>
  <si>
    <t xml:space="preserve">CARDIO</t>
  </si>
  <si>
    <t xml:space="preserve">VITA</t>
  </si>
  <si>
    <t xml:space="preserve">SPORT</t>
  </si>
  <si>
    <t xml:space="preserve">AGING</t>
  </si>
  <si>
    <t xml:space="preserve">MAMMA</t>
  </si>
  <si>
    <t xml:space="preserve">PLUS</t>
  </si>
  <si>
    <t xml:space="preserve">MTHFR</t>
  </si>
  <si>
    <t xml:space="preserve">rs1801131</t>
  </si>
  <si>
    <t xml:space="preserve">rs1801133</t>
  </si>
  <si>
    <t xml:space="preserve">CLCNKA</t>
  </si>
  <si>
    <t xml:space="preserve">rs848307</t>
  </si>
  <si>
    <t xml:space="preserve">rs1739843</t>
  </si>
  <si>
    <t xml:space="preserve">rs1010069</t>
  </si>
  <si>
    <t xml:space="preserve">ALPL</t>
  </si>
  <si>
    <t xml:space="preserve">rs4654748</t>
  </si>
  <si>
    <t xml:space="preserve">rs1256335</t>
  </si>
  <si>
    <t xml:space="preserve">SLC30A2</t>
  </si>
  <si>
    <t xml:space="preserve">rs35623192</t>
  </si>
  <si>
    <t xml:space="preserve">rs35235055</t>
  </si>
  <si>
    <t xml:space="preserve">PCSK9 </t>
  </si>
  <si>
    <t xml:space="preserve">rs11591147</t>
  </si>
  <si>
    <t xml:space="preserve">LEPR</t>
  </si>
  <si>
    <t xml:space="preserve">rs11208659</t>
  </si>
  <si>
    <t xml:space="preserve">MCT1</t>
  </si>
  <si>
    <t xml:space="preserve">rs1049434</t>
  </si>
  <si>
    <t xml:space="preserve">TUFT1</t>
  </si>
  <si>
    <t xml:space="preserve">rs2337360</t>
  </si>
  <si>
    <t xml:space="preserve">CRP</t>
  </si>
  <si>
    <t xml:space="preserve">rs1205</t>
  </si>
  <si>
    <t xml:space="preserve">APOA2</t>
  </si>
  <si>
    <t xml:space="preserve">rs5082</t>
  </si>
  <si>
    <t xml:space="preserve">AGT</t>
  </si>
  <si>
    <t xml:space="preserve">rs699</t>
  </si>
  <si>
    <t xml:space="preserve">rs5051</t>
  </si>
  <si>
    <t xml:space="preserve">rs5050</t>
  </si>
  <si>
    <t xml:space="preserve">rs11568020</t>
  </si>
  <si>
    <t xml:space="preserve">TMEM18</t>
  </si>
  <si>
    <t xml:space="preserve">rs6548238</t>
  </si>
  <si>
    <t xml:space="preserve">GCKR</t>
  </si>
  <si>
    <t xml:space="preserve">rs780094</t>
  </si>
  <si>
    <t xml:space="preserve">IL1B</t>
  </si>
  <si>
    <t xml:space="preserve">rs1143634</t>
  </si>
  <si>
    <t xml:space="preserve">rs1143633</t>
  </si>
  <si>
    <t xml:space="preserve">rs16944</t>
  </si>
  <si>
    <t xml:space="preserve">LCT</t>
  </si>
  <si>
    <t xml:space="preserve">rs4988235</t>
  </si>
  <si>
    <t xml:space="preserve">rs182549</t>
  </si>
  <si>
    <t xml:space="preserve">PPARG</t>
  </si>
  <si>
    <t xml:space="preserve">rs1801282</t>
  </si>
  <si>
    <t xml:space="preserve">GPX1</t>
  </si>
  <si>
    <t xml:space="preserve">rs1050450</t>
  </si>
  <si>
    <t xml:space="preserve">SLC2A2</t>
  </si>
  <si>
    <t xml:space="preserve">rs5400</t>
  </si>
  <si>
    <t xml:space="preserve">ADIPOQ</t>
  </si>
  <si>
    <t xml:space="preserve">rs17300539</t>
  </si>
  <si>
    <t xml:space="preserve">ADD1</t>
  </si>
  <si>
    <t xml:space="preserve">rs4961</t>
  </si>
  <si>
    <t xml:space="preserve">SOD3</t>
  </si>
  <si>
    <t xml:space="preserve">rs13306703</t>
  </si>
  <si>
    <t xml:space="preserve">rs699473</t>
  </si>
  <si>
    <t xml:space="preserve">rs2536512</t>
  </si>
  <si>
    <t xml:space="preserve">rs1799895</t>
  </si>
  <si>
    <t xml:space="preserve">GNPDA2</t>
  </si>
  <si>
    <t xml:space="preserve">rs10938397</t>
  </si>
  <si>
    <t xml:space="preserve">AMBN</t>
  </si>
  <si>
    <t xml:space="preserve">rs4694075</t>
  </si>
  <si>
    <t xml:space="preserve">rs34538475</t>
  </si>
  <si>
    <t xml:space="preserve">GC</t>
  </si>
  <si>
    <t xml:space="preserve">rs4588</t>
  </si>
  <si>
    <t xml:space="preserve">rs7041</t>
  </si>
  <si>
    <t xml:space="preserve">rs1155563</t>
  </si>
  <si>
    <t xml:space="preserve">FABP2</t>
  </si>
  <si>
    <t xml:space="preserve">rs1799883</t>
  </si>
  <si>
    <t xml:space="preserve">HFE</t>
  </si>
  <si>
    <t xml:space="preserve">rs1799945</t>
  </si>
  <si>
    <t xml:space="preserve">rs1800562</t>
  </si>
  <si>
    <t xml:space="preserve">COL12A1</t>
  </si>
  <si>
    <t xml:space="preserve">rs970547</t>
  </si>
  <si>
    <t xml:space="preserve">ESR1</t>
  </si>
  <si>
    <t xml:space="preserve">rs2234693</t>
  </si>
  <si>
    <t xml:space="preserve">SOD2</t>
  </si>
  <si>
    <t xml:space="preserve">rs1141718</t>
  </si>
  <si>
    <t xml:space="preserve">rs4880</t>
  </si>
  <si>
    <t xml:space="preserve">IL6</t>
  </si>
  <si>
    <t xml:space="preserve">rs1800796</t>
  </si>
  <si>
    <t xml:space="preserve">GCK</t>
  </si>
  <si>
    <t xml:space="preserve">rs1799884</t>
  </si>
  <si>
    <t xml:space="preserve">Leptin</t>
  </si>
  <si>
    <t xml:space="preserve">rs7799039</t>
  </si>
  <si>
    <t xml:space="preserve">NOS3</t>
  </si>
  <si>
    <t xml:space="preserve">rs2070744</t>
  </si>
  <si>
    <t xml:space="preserve">rs1799983</t>
  </si>
  <si>
    <t xml:space="preserve">LPL</t>
  </si>
  <si>
    <t xml:space="preserve">rs328</t>
  </si>
  <si>
    <t xml:space="preserve">CA1</t>
  </si>
  <si>
    <t xml:space="preserve">rs1532423</t>
  </si>
  <si>
    <t xml:space="preserve">SLC30A8</t>
  </si>
  <si>
    <t xml:space="preserve">rs13266634</t>
  </si>
  <si>
    <t xml:space="preserve">AQUAPORIN3</t>
  </si>
  <si>
    <t xml:space="preserve">rs17553719</t>
  </si>
  <si>
    <t xml:space="preserve">ALDOB</t>
  </si>
  <si>
    <t xml:space="preserve">rs76917243</t>
  </si>
  <si>
    <t xml:space="preserve">rs1800546</t>
  </si>
  <si>
    <t xml:space="preserve">COL27A1</t>
  </si>
  <si>
    <t xml:space="preserve">rs946053</t>
  </si>
  <si>
    <t xml:space="preserve">TNC</t>
  </si>
  <si>
    <t xml:space="preserve">rs13321</t>
  </si>
  <si>
    <t xml:space="preserve">rs2104772</t>
  </si>
  <si>
    <t xml:space="preserve">rs1330363</t>
  </si>
  <si>
    <t xml:space="preserve">COL5A1</t>
  </si>
  <si>
    <t xml:space="preserve">rs12722</t>
  </si>
  <si>
    <t xml:space="preserve">TCFL2</t>
  </si>
  <si>
    <t xml:space="preserve">rs7903146</t>
  </si>
  <si>
    <t xml:space="preserve">ADRB1</t>
  </si>
  <si>
    <t xml:space="preserve">rs1801253</t>
  </si>
  <si>
    <t xml:space="preserve">CYP2R1</t>
  </si>
  <si>
    <t xml:space="preserve">rs10741657</t>
  </si>
  <si>
    <t xml:space="preserve">BDNF</t>
  </si>
  <si>
    <t xml:space="preserve">rs6265</t>
  </si>
  <si>
    <t xml:space="preserve">CAT</t>
  </si>
  <si>
    <t xml:space="preserve">rs1001179</t>
  </si>
  <si>
    <t xml:space="preserve">FADS1</t>
  </si>
  <si>
    <t xml:space="preserve">rs174546</t>
  </si>
  <si>
    <t xml:space="preserve">FADS2</t>
  </si>
  <si>
    <t xml:space="preserve">rs174601</t>
  </si>
  <si>
    <t xml:space="preserve">ACTN3</t>
  </si>
  <si>
    <t xml:space="preserve">rs1815739</t>
  </si>
  <si>
    <t xml:space="preserve">LRP5</t>
  </si>
  <si>
    <t xml:space="preserve">rs3736228</t>
  </si>
  <si>
    <r>
      <rPr>
        <b val="true"/>
        <sz val="11"/>
        <color theme="1"/>
        <rFont val="Aptos Narrow"/>
        <family val="2"/>
        <charset val="1"/>
      </rPr>
      <t xml:space="preserve">DHCR7/NADSYN1 </t>
    </r>
    <r>
      <rPr>
        <b val="true"/>
        <sz val="11"/>
        <color rgb="FFFF0000"/>
        <rFont val="Aptos Narrow"/>
        <family val="2"/>
        <charset val="1"/>
      </rPr>
      <t xml:space="preserve">ON FUNZIONA)</t>
    </r>
  </si>
  <si>
    <t xml:space="preserve">rs12785878</t>
  </si>
  <si>
    <t xml:space="preserve">MTNR1B</t>
  </si>
  <si>
    <t xml:space="preserve">rs10830963</t>
  </si>
  <si>
    <t xml:space="preserve">MMP3</t>
  </si>
  <si>
    <t xml:space="preserve">rs591058</t>
  </si>
  <si>
    <t xml:space="preserve">rs679620</t>
  </si>
  <si>
    <t xml:space="preserve">APOA5</t>
  </si>
  <si>
    <t xml:space="preserve">rs662799</t>
  </si>
  <si>
    <t xml:space="preserve">WNK1</t>
  </si>
  <si>
    <t xml:space="preserve">rs880054</t>
  </si>
  <si>
    <t xml:space="preserve">NTN4</t>
  </si>
  <si>
    <t xml:space="preserve">rs2367563</t>
  </si>
  <si>
    <t xml:space="preserve">ALDH2</t>
  </si>
  <si>
    <t xml:space="preserve">rs671</t>
  </si>
  <si>
    <t xml:space="preserve">MTHFD1</t>
  </si>
  <si>
    <t xml:space="preserve">rs2236225</t>
  </si>
  <si>
    <t xml:space="preserve">CYP1A2</t>
  </si>
  <si>
    <t xml:space="preserve">rs762551</t>
  </si>
  <si>
    <t xml:space="preserve">PPCDC</t>
  </si>
  <si>
    <t xml:space="preserve">rs2120019</t>
  </si>
  <si>
    <t xml:space="preserve">FTO</t>
  </si>
  <si>
    <t xml:space="preserve">rs1421085</t>
  </si>
  <si>
    <t xml:space="preserve">rs1558902</t>
  </si>
  <si>
    <t xml:space="preserve">rs1121980</t>
  </si>
  <si>
    <t xml:space="preserve">rs8050136</t>
  </si>
  <si>
    <t xml:space="preserve">rs9939609</t>
  </si>
  <si>
    <t xml:space="preserve">CETP</t>
  </si>
  <si>
    <t xml:space="preserve">rs3764261</t>
  </si>
  <si>
    <t xml:space="preserve">CETP </t>
  </si>
  <si>
    <t xml:space="preserve">rs708272</t>
  </si>
  <si>
    <t xml:space="preserve">NQO1 </t>
  </si>
  <si>
    <t xml:space="preserve">rs1800566</t>
  </si>
  <si>
    <t xml:space="preserve">BCMO1</t>
  </si>
  <si>
    <t xml:space="preserve">rs12934922</t>
  </si>
  <si>
    <t xml:space="preserve">rs7501331</t>
  </si>
  <si>
    <t xml:space="preserve">COL1A1</t>
  </si>
  <si>
    <t xml:space="preserve">rs1800012</t>
  </si>
  <si>
    <t xml:space="preserve">NEDD4L</t>
  </si>
  <si>
    <t xml:space="preserve">rs4149601</t>
  </si>
  <si>
    <t xml:space="preserve">rs2288774</t>
  </si>
  <si>
    <t xml:space="preserve">MC4R </t>
  </si>
  <si>
    <t xml:space="preserve">rs17700144</t>
  </si>
  <si>
    <t xml:space="preserve">rs17782313</t>
  </si>
  <si>
    <t xml:space="preserve">APOE</t>
  </si>
  <si>
    <t xml:space="preserve">rs429358</t>
  </si>
  <si>
    <t xml:space="preserve">rs7412</t>
  </si>
  <si>
    <t xml:space="preserve">FUT2</t>
  </si>
  <si>
    <t xml:space="preserve">rs602662</t>
  </si>
  <si>
    <t xml:space="preserve">KLK4</t>
  </si>
  <si>
    <t xml:space="preserve">rs2235091</t>
  </si>
  <si>
    <t xml:space="preserve">rs2242670</t>
  </si>
  <si>
    <t xml:space="preserve">rs198968</t>
  </si>
  <si>
    <t xml:space="preserve">rs198969</t>
  </si>
  <si>
    <t xml:space="preserve">GDF5</t>
  </si>
  <si>
    <t xml:space="preserve">rs143383</t>
  </si>
  <si>
    <t xml:space="preserve">MMP9</t>
  </si>
  <si>
    <t xml:space="preserve">rs3918242</t>
  </si>
  <si>
    <t xml:space="preserve">TMPRSS6</t>
  </si>
  <si>
    <t xml:space="preserve">rs855791</t>
  </si>
  <si>
    <t xml:space="preserve">rs4820268</t>
  </si>
  <si>
    <t xml:space="preserve">AMELX</t>
  </si>
  <si>
    <t xml:space="preserve">rs5933871</t>
  </si>
  <si>
    <t xml:space="preserve">rs5934997</t>
  </si>
  <si>
    <t xml:space="preserve">rs17878486</t>
  </si>
  <si>
    <t xml:space="preserve">NBDY</t>
  </si>
  <si>
    <t xml:space="preserve">rs4826508</t>
  </si>
  <si>
    <t xml:space="preserve">GEN</t>
  </si>
  <si>
    <t xml:space="preserve">CHECK</t>
  </si>
  <si>
    <t xml:space="preserve">NOTE</t>
  </si>
  <si>
    <t xml:space="preserve">ADIPOq</t>
  </si>
  <si>
    <t xml:space="preserve">CC</t>
  </si>
  <si>
    <t xml:space="preserve">livelli di adiponectina ridotti</t>
  </si>
  <si>
    <t xml:space="preserve">CT</t>
  </si>
  <si>
    <t xml:space="preserve">TT</t>
  </si>
  <si>
    <t xml:space="preserve">livelli di adiponectina aumentati</t>
  </si>
  <si>
    <t xml:space="preserve">GG</t>
  </si>
  <si>
    <t xml:space="preserve">GA</t>
  </si>
  <si>
    <t xml:space="preserve">AA</t>
  </si>
  <si>
    <t xml:space="preserve">s6265(A;A) women had a lower body mass</t>
  </si>
  <si>
    <t xml:space="preserve">TC</t>
  </si>
  <si>
    <t xml:space="preserve">AT</t>
  </si>
  <si>
    <t xml:space="preserve">NEW</t>
  </si>
  <si>
    <t xml:space="preserve">AC</t>
  </si>
  <si>
    <t xml:space="preserve">MC4R</t>
  </si>
  <si>
    <t xml:space="preserve">AG</t>
  </si>
  <si>
    <t xml:space="preserve">ALTO</t>
  </si>
  <si>
    <t xml:space="preserve">≥19</t>
  </si>
  <si>
    <t xml:space="preserve">MEDIO</t>
  </si>
  <si>
    <t xml:space="preserve">15-18</t>
  </si>
  <si>
    <t xml:space="preserve">LIEVE</t>
  </si>
  <si>
    <t xml:space="preserve">9-14</t>
  </si>
  <si>
    <t xml:space="preserve">BASSO</t>
  </si>
  <si>
    <t xml:space="preserve">0-8</t>
  </si>
  <si>
    <t xml:space="preserve">higher gestational diabetes risk</t>
  </si>
  <si>
    <t xml:space="preserve">A allele confered protection from weight regain</t>
  </si>
  <si>
    <t xml:space="preserve">rs8050136 </t>
  </si>
  <si>
    <t xml:space="preserve">higher sugar consumption</t>
  </si>
  <si>
    <t xml:space="preserve">SLC2A3</t>
  </si>
  <si>
    <t xml:space="preserve">rs5401</t>
  </si>
  <si>
    <t xml:space="preserve">SLC2A4</t>
  </si>
  <si>
    <t xml:space="preserve">rs5402</t>
  </si>
  <si>
    <t xml:space="preserve">&gt;20</t>
  </si>
  <si>
    <t xml:space="preserve">15-19</t>
  </si>
  <si>
    <t xml:space="preserve">7-14</t>
  </si>
  <si>
    <t xml:space="preserve">NON EVIDENTE </t>
  </si>
  <si>
    <t xml:space="preserve">0-6</t>
  </si>
  <si>
    <t xml:space="preserve">rs429358/rs7412</t>
  </si>
  <si>
    <t xml:space="preserve">TT/TT</t>
  </si>
  <si>
    <t xml:space="preserve">LDL tendenzialmente ridotto; possibile aumento dei trigliceridi</t>
  </si>
  <si>
    <t xml:space="preserve">TC/TT</t>
  </si>
  <si>
    <t xml:space="preserve">CC/TT</t>
  </si>
  <si>
    <t xml:space="preserve">TT/TC</t>
  </si>
  <si>
    <t xml:space="preserve">TC/TC</t>
  </si>
  <si>
    <t xml:space="preserve">Aumento del colesterolo LDL</t>
  </si>
  <si>
    <t xml:space="preserve">CC/TC </t>
  </si>
  <si>
    <t xml:space="preserve">TT/CC</t>
  </si>
  <si>
    <t xml:space="preserve">TC/CC</t>
  </si>
  <si>
    <t xml:space="preserve">Aumento marcato del colesterolo LDL</t>
  </si>
  <si>
    <t xml:space="preserve">CC/CC</t>
  </si>
  <si>
    <t xml:space="preserve">Profilo lipidico fortemente aterogeno (LDL elevato)</t>
  </si>
  <si>
    <t xml:space="preserve">rs1801133/rs1801131</t>
  </si>
  <si>
    <t xml:space="preserve">GG/TT</t>
  </si>
  <si>
    <t xml:space="preserve">GG/TG</t>
  </si>
  <si>
    <t xml:space="preserve">GG/GG</t>
  </si>
  <si>
    <t xml:space="preserve">GA/TT</t>
  </si>
  <si>
    <t xml:space="preserve">CONTROLLO DEI LIVELLI DI OMOCISTEINA</t>
  </si>
  <si>
    <t xml:space="preserve">dipende dai folati se bassi si rischio CAD </t>
  </si>
  <si>
    <t xml:space="preserve">GA/TG</t>
  </si>
  <si>
    <t xml:space="preserve">GA/GG</t>
  </si>
  <si>
    <t xml:space="preserve">nd</t>
  </si>
  <si>
    <t xml:space="preserve">AA/TT</t>
  </si>
  <si>
    <t xml:space="preserve">AA/TG</t>
  </si>
  <si>
    <t xml:space="preserve">AA/GG</t>
  </si>
  <si>
    <t xml:space="preserve">risk of coronary artery disease and ischemic stroke</t>
  </si>
  <si>
    <t xml:space="preserve">rs174601 </t>
  </si>
  <si>
    <t xml:space="preserve">rs174546 </t>
  </si>
  <si>
    <t xml:space="preserve"> higher early heart attack risk; less weight gain on high fat diets</t>
  </si>
  <si>
    <t xml:space="preserve">associated with higher HDL cholesterol. HDL = good</t>
  </si>
  <si>
    <t xml:space="preserve">TG</t>
  </si>
  <si>
    <t xml:space="preserve">rs708272 </t>
  </si>
  <si>
    <t xml:space="preserve">PCSK9</t>
  </si>
  <si>
    <t xml:space="preserve">lower LDL cholesterol levels</t>
  </si>
  <si>
    <t xml:space="preserve">GT</t>
  </si>
  <si>
    <t xml:space="preserve">increased risk of cardiovascular disease</t>
  </si>
  <si>
    <t xml:space="preserve">CG</t>
  </si>
  <si>
    <r>
      <rPr>
        <b val="true"/>
        <sz val="11"/>
        <color theme="1"/>
        <rFont val="Aptos Narrow"/>
        <family val="2"/>
        <charset val="1"/>
      </rPr>
      <t xml:space="preserve">NON EVIDENTE:</t>
    </r>
    <r>
      <rPr>
        <sz val="11"/>
        <color theme="1"/>
        <rFont val="Aptos Narrow"/>
        <family val="2"/>
        <charset val="1"/>
      </rPr>
      <t xml:space="preserve"> </t>
    </r>
    <r>
      <rPr>
        <b val="true"/>
        <sz val="11"/>
        <color theme="1"/>
        <rFont val="Aptos Narrow"/>
        <family val="2"/>
        <charset val="1"/>
      </rPr>
      <t xml:space="preserve">≤ 9</t>
    </r>
  </si>
  <si>
    <r>
      <rPr>
        <b val="true"/>
        <sz val="11"/>
        <color theme="1"/>
        <rFont val="Aptos Narrow"/>
        <family val="2"/>
        <charset val="1"/>
      </rPr>
      <t xml:space="preserve">LIEVE:</t>
    </r>
    <r>
      <rPr>
        <sz val="11"/>
        <color theme="1"/>
        <rFont val="Aptos Narrow"/>
        <family val="2"/>
        <charset val="1"/>
      </rPr>
      <t xml:space="preserve"> </t>
    </r>
    <r>
      <rPr>
        <b val="true"/>
        <sz val="11"/>
        <color theme="1"/>
        <rFont val="Aptos Narrow"/>
        <family val="2"/>
        <charset val="1"/>
      </rPr>
      <t xml:space="preserve">10–16</t>
    </r>
  </si>
  <si>
    <r>
      <rPr>
        <b val="true"/>
        <sz val="11"/>
        <color theme="1"/>
        <rFont val="Aptos Narrow"/>
        <family val="2"/>
        <charset val="1"/>
      </rPr>
      <t xml:space="preserve">MEDIO:</t>
    </r>
    <r>
      <rPr>
        <sz val="11"/>
        <color theme="1"/>
        <rFont val="Aptos Narrow"/>
        <family val="2"/>
        <charset val="1"/>
      </rPr>
      <t xml:space="preserve"> </t>
    </r>
    <r>
      <rPr>
        <b val="true"/>
        <sz val="11"/>
        <color theme="1"/>
        <rFont val="Aptos Narrow"/>
        <family val="2"/>
        <charset val="1"/>
      </rPr>
      <t xml:space="preserve">17–24</t>
    </r>
  </si>
  <si>
    <r>
      <rPr>
        <b val="true"/>
        <sz val="11"/>
        <color theme="1"/>
        <rFont val="Aptos Narrow"/>
        <family val="2"/>
        <charset val="1"/>
      </rPr>
      <t xml:space="preserve">ALTO:</t>
    </r>
    <r>
      <rPr>
        <sz val="11"/>
        <color theme="1"/>
        <rFont val="Aptos Narrow"/>
        <family val="2"/>
        <charset val="1"/>
      </rPr>
      <t xml:space="preserve"> </t>
    </r>
    <r>
      <rPr>
        <b val="true"/>
        <sz val="11"/>
        <color theme="1"/>
        <rFont val="Aptos Narrow"/>
        <family val="2"/>
        <charset val="1"/>
      </rPr>
      <t xml:space="preserve">≥ 25</t>
    </r>
  </si>
  <si>
    <t xml:space="preserve">Caffeina</t>
  </si>
  <si>
    <t xml:space="preserve">Fruttosio</t>
  </si>
  <si>
    <t xml:space="preserve">LCT (MCM6)</t>
  </si>
  <si>
    <t xml:space="preserve">Lattosio</t>
  </si>
  <si>
    <t xml:space="preserve">Sens. Alcol</t>
  </si>
  <si>
    <t xml:space="preserve">INT NICHEL</t>
  </si>
  <si>
    <t xml:space="preserve">NTN5</t>
  </si>
  <si>
    <t xml:space="preserve">rs2367564</t>
  </si>
  <si>
    <t xml:space="preserve">NTN6</t>
  </si>
  <si>
    <t xml:space="preserve">rs2367565</t>
  </si>
  <si>
    <t xml:space="preserve">New Rules</t>
  </si>
  <si>
    <t xml:space="preserve">Sens. Alcol &gt;=2</t>
  </si>
  <si>
    <t xml:space="preserve">Intolleranza al fruttosio &gt;=3</t>
  </si>
  <si>
    <t xml:space="preserve">Intolleranza al lattosio &gt;=1</t>
  </si>
  <si>
    <t xml:space="preserve">Sensibilità al nichel &gt;=1</t>
  </si>
  <si>
    <t xml:space="preserve">metabolismo caffeina =1 veloce, 0 lento</t>
  </si>
  <si>
    <t xml:space="preserve">Assay ID</t>
  </si>
  <si>
    <t xml:space="preserve">C___1085600_10</t>
  </si>
  <si>
    <t xml:space="preserve">rs1799945/rs1800562</t>
  </si>
  <si>
    <t xml:space="preserve">GG/AA</t>
  </si>
  <si>
    <t xml:space="preserve">Emocromatosi</t>
  </si>
  <si>
    <t xml:space="preserve">GG/AG</t>
  </si>
  <si>
    <t xml:space="preserve">lieve alterazione dei livelli di ferro</t>
  </si>
  <si>
    <t xml:space="preserve">GC/AA</t>
  </si>
  <si>
    <t xml:space="preserve">GC/AG</t>
  </si>
  <si>
    <t xml:space="preserve">GC/GG</t>
  </si>
  <si>
    <t xml:space="preserve">CC/AA</t>
  </si>
  <si>
    <t xml:space="preserve">CC/AG</t>
  </si>
  <si>
    <t xml:space="preserve">CC/GG</t>
  </si>
  <si>
    <t xml:space="preserve">C___3289902_10</t>
  </si>
  <si>
    <t xml:space="preserve">Ferro Basso</t>
  </si>
  <si>
    <t xml:space="preserve">C__11885329_10</t>
  </si>
  <si>
    <t xml:space="preserve">Low Vitamin B9</t>
  </si>
  <si>
    <t xml:space="preserve">Low Vitamin D</t>
  </si>
  <si>
    <t xml:space="preserve">rs4588/rs7041</t>
  </si>
  <si>
    <t xml:space="preserve">AA/AA</t>
  </si>
  <si>
    <t xml:space="preserve">AC/AA</t>
  </si>
  <si>
    <t xml:space="preserve">AA/AC</t>
  </si>
  <si>
    <t xml:space="preserve">AC/AC</t>
  </si>
  <si>
    <t xml:space="preserve">CC/AC</t>
  </si>
  <si>
    <t xml:space="preserve">AA/CC</t>
  </si>
  <si>
    <t xml:space="preserve">AC/CC</t>
  </si>
  <si>
    <t xml:space="preserve">Low Vitamin B12</t>
  </si>
  <si>
    <t xml:space="preserve">Low Vitamin A</t>
  </si>
  <si>
    <t xml:space="preserve"> lieve alterazione dei livelli di ferro &gt;=1 </t>
  </si>
  <si>
    <t xml:space="preserve">emocromatosi &gt;= 1</t>
  </si>
  <si>
    <t xml:space="preserve">LOW VITAMIN B9 &gt;=2</t>
  </si>
  <si>
    <t xml:space="preserve">CONTROLLARE ACIDO FOLICO</t>
  </si>
  <si>
    <t xml:space="preserve">Vitamin D &gt;= 2</t>
  </si>
  <si>
    <t xml:space="preserve">CONTROLLARE BASSA VIT D</t>
  </si>
  <si>
    <t xml:space="preserve">Vitamin B12 &amp; LOW VITAMIN B9 &gt;=3</t>
  </si>
  <si>
    <t xml:space="preserve">CONTROLLARE BASSA VIT B12</t>
  </si>
  <si>
    <t xml:space="preserve">Vitamin A&gt;=2</t>
  </si>
  <si>
    <t xml:space="preserve">CONTROLLARE BASSA VIT A</t>
  </si>
  <si>
    <t xml:space="preserve">Osteoartrosi e fratture</t>
  </si>
  <si>
    <t xml:space="preserve">Crampi-Debolezza Tendinea</t>
  </si>
  <si>
    <t xml:space="preserve">COL27A1/TNC</t>
  </si>
  <si>
    <t xml:space="preserve">rs946053/rs13321/rs2104772</t>
  </si>
  <si>
    <t xml:space="preserve">GG/CC/AA</t>
  </si>
  <si>
    <t xml:space="preserve">Tendinopatie</t>
  </si>
  <si>
    <t xml:space="preserve">GG/CC/AT</t>
  </si>
  <si>
    <t xml:space="preserve">GG/CC/TT</t>
  </si>
  <si>
    <t xml:space="preserve">-1</t>
  </si>
  <si>
    <t xml:space="preserve">GG/CG/AA</t>
  </si>
  <si>
    <t xml:space="preserve">GG/CG/AT</t>
  </si>
  <si>
    <t xml:space="preserve">GG/CG/TT</t>
  </si>
  <si>
    <t xml:space="preserve">GG/GG/AA</t>
  </si>
  <si>
    <t xml:space="preserve">GG/GG/AT</t>
  </si>
  <si>
    <t xml:space="preserve">GG/GG/TT</t>
  </si>
  <si>
    <t xml:space="preserve">GT/CC/AA</t>
  </si>
  <si>
    <t xml:space="preserve">3</t>
  </si>
  <si>
    <t xml:space="preserve">GT/CC/AT</t>
  </si>
  <si>
    <t xml:space="preserve">GT/CC/TT</t>
  </si>
  <si>
    <t xml:space="preserve">GT/CG/AA</t>
  </si>
  <si>
    <t xml:space="preserve">0</t>
  </si>
  <si>
    <t xml:space="preserve">GT/CG/AT</t>
  </si>
  <si>
    <t xml:space="preserve">GT/CG/TT</t>
  </si>
  <si>
    <t xml:space="preserve">GT/GG/AA</t>
  </si>
  <si>
    <t xml:space="preserve">GT/GG/AT</t>
  </si>
  <si>
    <t xml:space="preserve">GT/GG/TT</t>
  </si>
  <si>
    <t xml:space="preserve">TT/CC/AA</t>
  </si>
  <si>
    <t xml:space="preserve">TT/CC/AT</t>
  </si>
  <si>
    <t xml:space="preserve">TT/CC/TT</t>
  </si>
  <si>
    <t xml:space="preserve">TT/CG/AA</t>
  </si>
  <si>
    <t xml:space="preserve">TT/CG/AT</t>
  </si>
  <si>
    <t xml:space="preserve">TT/CG/TT</t>
  </si>
  <si>
    <t xml:space="preserve">TT/GG/AA</t>
  </si>
  <si>
    <t xml:space="preserve">TT/GG/AT</t>
  </si>
  <si>
    <t xml:space="preserve">TT/GG/TT</t>
  </si>
  <si>
    <t xml:space="preserve">Sport Resistenza-Potenza</t>
  </si>
  <si>
    <t xml:space="preserve">Danno muscolare</t>
  </si>
  <si>
    <t xml:space="preserve">Predispone alle tendinopatie croniche (Tendine d'Achille) &gt;  =  8</t>
  </si>
  <si>
    <t xml:space="preserve">danno muscolare&gt;=2</t>
  </si>
  <si>
    <t xml:space="preserve"> predispone ad una maggiore suscettibilità ai crampi muscolari oltre che a predisporre ad una maggiore debolezza tendinea&gt;=2</t>
  </si>
  <si>
    <t xml:space="preserve">fattore di rischio per osteoartrosi e fratture ossee&gt;=2</t>
  </si>
  <si>
    <t xml:space="preserve"> predispozione agli sport di potenza&gt;= 2</t>
  </si>
  <si>
    <t xml:space="preserve">predisposizione per sport e performance di resistenza &gt;= -1</t>
  </si>
  <si>
    <t xml:space="preserve">&gt;=1 potenza, 1 o -1 resistenza, 0 misto</t>
  </si>
  <si>
    <t xml:space="preserve">CRP </t>
  </si>
  <si>
    <t xml:space="preserve">Rischio Cardio</t>
  </si>
  <si>
    <t xml:space="preserve">SOD3 </t>
  </si>
  <si>
    <t xml:space="preserve">Calo att. antiossidante</t>
  </si>
  <si>
    <t xml:space="preserve">rs2536512 </t>
  </si>
  <si>
    <t xml:space="preserve">IL1B </t>
  </si>
  <si>
    <t xml:space="preserve">Funzioni cognitive</t>
  </si>
  <si>
    <t xml:space="preserve">NQO1</t>
  </si>
  <si>
    <t xml:space="preserve">Elast. Pelle</t>
  </si>
  <si>
    <t xml:space="preserve">Idrat. Pelle</t>
  </si>
  <si>
    <t xml:space="preserve">rs1143633 </t>
  </si>
  <si>
    <t xml:space="preserve">Diabete e ipercolesterolemia</t>
  </si>
  <si>
    <t xml:space="preserve">IL6 </t>
  </si>
  <si>
    <t xml:space="preserve">GPX1 </t>
  </si>
  <si>
    <t xml:space="preserve">Rischio Cardio+Calo att. antiossidante</t>
  </si>
  <si>
    <t xml:space="preserve">rischio malattie cardiovascoalri =ATTENZIONE QUESTI GENI SONO DA CONSIDERARE INSIEME AGLI ALTRI DELLE PATOLOGIE CARDIOVASCOLARI</t>
  </si>
  <si>
    <t xml:space="preserve">rischio di sviluppare forme lievi di diabete  e ipercolesterolemia=ATTENZIONE QUESTI GENI SONO DA CONSIDERARE INSIEME AGLI ALTRI DEL DIABETE</t>
  </si>
  <si>
    <t xml:space="preserve">calo attività antiossidante&gt;=2</t>
  </si>
  <si>
    <t xml:space="preserve">ridotte funzioni cognitive&gt;=2</t>
  </si>
  <si>
    <t xml:space="preserve">Elast. Pelle&gt;=1</t>
  </si>
  <si>
    <t xml:space="preserve">Idrat. Pelle&gt;=1</t>
  </si>
  <si>
    <t xml:space="preserve">Sodium</t>
  </si>
  <si>
    <t xml:space="preserve">rs848307 1a</t>
  </si>
  <si>
    <t xml:space="preserve">rs1739843 3a</t>
  </si>
  <si>
    <t xml:space="preserve">rs1010069 4a</t>
  </si>
  <si>
    <t xml:space="preserve">rs4961 (Gly460Trp)</t>
  </si>
  <si>
    <t xml:space="preserve">rs699 (M235T)</t>
  </si>
  <si>
    <t xml:space="preserve">Low Zinc</t>
  </si>
  <si>
    <t xml:space="preserve">Low Vitamin B6</t>
  </si>
  <si>
    <t xml:space="preserve">Potassio basso</t>
  </si>
  <si>
    <t xml:space="preserve">Sodium&gt;6</t>
  </si>
  <si>
    <t xml:space="preserve">PREDISPOSIZIONE GENETICA AD ELEVATI LIVELLI DI SODIO E CONSEGUENTE IPERTENSIONE</t>
  </si>
  <si>
    <t xml:space="preserve">Zinc&gt;2</t>
  </si>
  <si>
    <t xml:space="preserve">PREDISPOSIZIONE GENETICA A RIDOTTI LIVELLI DI ZINCO</t>
  </si>
  <si>
    <t xml:space="preserve">LOW VITAMIN B9 &gt;=4</t>
  </si>
  <si>
    <t xml:space="preserve">Vitamin D &gt;= 3</t>
  </si>
  <si>
    <t xml:space="preserve">CONTROLLARE VIT D</t>
  </si>
  <si>
    <t xml:space="preserve">Vitamin B6 &gt;= 2</t>
  </si>
  <si>
    <t xml:space="preserve">Vitamin B12 &amp; LOW VITAMIN B9 &gt;=4</t>
  </si>
  <si>
    <t xml:space="preserve">CONTROLLARE VIT B12</t>
  </si>
  <si>
    <t xml:space="preserve">Potassio &gt;=1</t>
  </si>
  <si>
    <t xml:space="preserve">CONTROLLARE LIVELLI DI POTASSIO</t>
  </si>
  <si>
    <t xml:space="preserve">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</si>
</sst>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@"/>
    <numFmt numFmtId="167" formatCode="mmm\-yy"/>
    <numFmt numFmtId="168" formatCode="0%"/>
    <numFmt numFmtId="169" formatCode="0"/>
  </numFmts>
  <fonts count="43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theme="1"/>
      <name val="Aptos Narrow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1"/>
      <name val="Aptos Narrow"/>
      <family val="2"/>
      <charset val="1"/>
    </font>
    <font>
      <sz val="11"/>
      <name val="Aptos Narrow"/>
      <family val="2"/>
      <charset val="1"/>
    </font>
    <font>
      <b val="true"/>
      <sz val="11"/>
      <color rgb="FFFF0000"/>
      <name val="Aptos Narrow"/>
      <family val="2"/>
      <charset val="1"/>
    </font>
    <font>
      <b val="true"/>
      <sz val="12"/>
      <color rgb="FFFF0000"/>
      <name val="Calibri"/>
      <family val="2"/>
      <charset val="1"/>
    </font>
    <font>
      <b val="true"/>
      <sz val="12"/>
      <color rgb="FF33CC33"/>
      <name val="Calibri"/>
      <family val="2"/>
      <charset val="1"/>
    </font>
    <font>
      <b val="true"/>
      <sz val="12"/>
      <color rgb="FF212529"/>
      <name val="Calibri"/>
      <family val="2"/>
      <charset val="1"/>
    </font>
    <font>
      <b val="true"/>
      <sz val="12"/>
      <color rgb="FF212121"/>
      <name val="Calibri"/>
      <family val="2"/>
      <charset val="1"/>
    </font>
    <font>
      <b val="true"/>
      <sz val="12"/>
      <color rgb="FF333333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12"/>
      <color rgb="FF202122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000000"/>
      <name val="Times New Roman"/>
      <family val="1"/>
      <charset val="1"/>
    </font>
    <font>
      <b val="true"/>
      <sz val="12"/>
      <color rgb="FFFF0000"/>
      <name val="Times New Roman"/>
      <family val="1"/>
      <charset val="1"/>
    </font>
    <font>
      <sz val="12"/>
      <color rgb="FFFF0000"/>
      <name val="Segoe UI"/>
      <family val="2"/>
      <charset val="1"/>
    </font>
    <font>
      <b val="true"/>
      <sz val="12"/>
      <color rgb="FF212529"/>
      <name val="Times New Roman"/>
      <family val="1"/>
      <charset val="1"/>
    </font>
    <font>
      <b val="true"/>
      <sz val="12"/>
      <name val="Times New Roman"/>
      <family val="1"/>
      <charset val="1"/>
    </font>
    <font>
      <sz val="12"/>
      <color rgb="FF212529"/>
      <name val="Segoe UI"/>
      <family val="2"/>
      <charset val="1"/>
    </font>
    <font>
      <b val="true"/>
      <sz val="12"/>
      <color rgb="FF33CC33"/>
      <name val="Times New Roman"/>
      <family val="1"/>
      <charset val="1"/>
    </font>
    <font>
      <b val="true"/>
      <sz val="10"/>
      <color rgb="FF000000"/>
      <name val="Aptos Narrow"/>
      <family val="2"/>
      <charset val="1"/>
    </font>
    <font>
      <b val="true"/>
      <sz val="10"/>
      <name val="Aptos Narrow"/>
      <family val="2"/>
      <charset val="1"/>
    </font>
    <font>
      <sz val="10"/>
      <color theme="1"/>
      <name val="Aptos Narrow"/>
      <family val="2"/>
      <charset val="1"/>
    </font>
    <font>
      <b val="true"/>
      <sz val="10"/>
      <color rgb="FFFF0000"/>
      <name val="Aptos Narrow"/>
      <family val="2"/>
      <charset val="1"/>
    </font>
    <font>
      <b val="true"/>
      <sz val="10"/>
      <color rgb="FF33CC33"/>
      <name val="Aptos Narrow"/>
      <family val="2"/>
      <charset val="1"/>
    </font>
    <font>
      <b val="true"/>
      <sz val="10"/>
      <color rgb="FF212529"/>
      <name val="Aptos Narrow"/>
      <family val="2"/>
      <charset val="1"/>
    </font>
    <font>
      <b val="true"/>
      <sz val="10"/>
      <color rgb="FF00B050"/>
      <name val="Aptos Narrow"/>
      <family val="2"/>
      <charset val="1"/>
    </font>
    <font>
      <b val="true"/>
      <sz val="10"/>
      <color rgb="FF202122"/>
      <name val="Aptos Narrow"/>
      <family val="2"/>
      <charset val="1"/>
    </font>
    <font>
      <b val="true"/>
      <sz val="12"/>
      <color rgb="FF000000"/>
      <name val="Aptos Narrow"/>
      <family val="2"/>
      <charset val="1"/>
    </font>
    <font>
      <b val="true"/>
      <sz val="12"/>
      <color rgb="FF000000"/>
      <name val="Aptos"/>
      <family val="2"/>
      <charset val="1"/>
    </font>
    <font>
      <b val="true"/>
      <sz val="12"/>
      <color rgb="FF212121"/>
      <name val="Aptos"/>
      <family val="2"/>
      <charset val="1"/>
    </font>
    <font>
      <b val="true"/>
      <sz val="12"/>
      <name val="Aptos"/>
      <family val="2"/>
      <charset val="1"/>
    </font>
    <font>
      <b val="true"/>
      <sz val="12"/>
      <color theme="1"/>
      <name val="Aptos"/>
      <family val="2"/>
      <charset val="1"/>
    </font>
    <font>
      <b val="true"/>
      <sz val="12"/>
      <color rgb="FFFF0000"/>
      <name val="Aptos"/>
      <family val="2"/>
      <charset val="1"/>
    </font>
    <font>
      <b val="true"/>
      <sz val="12"/>
      <color rgb="FF00B050"/>
      <name val="Aptos"/>
      <family val="2"/>
      <charset val="1"/>
    </font>
    <font>
      <sz val="11"/>
      <color theme="1"/>
      <name val="Aptos"/>
      <family val="2"/>
      <charset val="1"/>
    </font>
    <font>
      <b val="true"/>
      <sz val="12"/>
      <color rgb="FFFFFFFF"/>
      <name val="Aptos Narrow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CFCFC"/>
      </patternFill>
    </fill>
    <fill>
      <patternFill patternType="solid">
        <fgColor rgb="FFFF0000"/>
        <bgColor rgb="FFF10D0C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33CC33"/>
        <bgColor rgb="FF00B050"/>
      </patternFill>
    </fill>
    <fill>
      <patternFill patternType="solid">
        <fgColor theme="9" tint="0.5999"/>
        <bgColor rgb="FFC6EFCE"/>
      </patternFill>
    </fill>
    <fill>
      <patternFill patternType="solid">
        <fgColor rgb="FF9DC3E6"/>
        <bgColor rgb="FFBFBFBF"/>
      </patternFill>
    </fill>
    <fill>
      <patternFill patternType="solid">
        <fgColor rgb="FFF4B183"/>
        <bgColor rgb="FFFF99CC"/>
      </patternFill>
    </fill>
    <fill>
      <patternFill patternType="solid">
        <fgColor rgb="FFA6A6A6"/>
        <bgColor rgb="FFBFBFBF"/>
      </patternFill>
    </fill>
    <fill>
      <patternFill patternType="solid">
        <fgColor rgb="FFF2F2F2"/>
        <bgColor rgb="FFFCFCFC"/>
      </patternFill>
    </fill>
    <fill>
      <patternFill patternType="solid">
        <fgColor rgb="FFBFBFBF"/>
        <bgColor rgb="FF9DC3E6"/>
      </patternFill>
    </fill>
    <fill>
      <patternFill patternType="solid">
        <fgColor rgb="FFF10D0C"/>
        <bgColor rgb="FFFF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9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1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2" borderId="1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5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35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0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5" fillId="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5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34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3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4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34" fillId="5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3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4" fillId="9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3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4" fillId="1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34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9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4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34" fillId="11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1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34" fillId="1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34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23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9">
    <dxf>
      <font>
        <color rgb="FF006100"/>
      </font>
      <fill>
        <patternFill>
          <bgColor rgb="FFC6EFCE"/>
        </patternFill>
      </fill>
    </dxf>
    <dxf>
      <fill>
        <patternFill>
          <bgColor rgb="FFF4B183"/>
        </patternFill>
      </fill>
    </dxf>
    <dxf>
      <fill>
        <patternFill>
          <bgColor rgb="FFFCFCFC"/>
        </patternFill>
      </fill>
    </dxf>
    <dxf>
      <fill>
        <patternFill>
          <bgColor rgb="FFFFFFFF"/>
        </patternFill>
      </fill>
    </dxf>
    <dxf>
      <fill>
        <patternFill>
          <bgColor rgb="FF212121"/>
        </patternFill>
      </fill>
    </dxf>
    <dxf>
      <fill>
        <patternFill>
          <bgColor rgb="FF212529"/>
        </patternFill>
      </fill>
    </dxf>
    <dxf>
      <fill>
        <patternFill>
          <bgColor rgb="FFF4B183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FCFC"/>
      <rgbColor rgb="FFF2F2F2"/>
      <rgbColor rgb="FF660066"/>
      <rgbColor rgb="FFFF8080"/>
      <rgbColor rgb="FF0066CC"/>
      <rgbColor rgb="FFB4E5A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DC3E6"/>
      <rgbColor rgb="FFFF99CC"/>
      <rgbColor rgb="FFCC99FF"/>
      <rgbColor rgb="FFF4B183"/>
      <rgbColor rgb="FF3366FF"/>
      <rgbColor rgb="FF33CC33"/>
      <rgbColor rgb="FF99CC00"/>
      <rgbColor rgb="FFFFC000"/>
      <rgbColor rgb="FFFF9900"/>
      <rgbColor rgb="FFFF6600"/>
      <rgbColor rgb="FF666699"/>
      <rgbColor rgb="FFA6A6A6"/>
      <rgbColor rgb="FF212121"/>
      <rgbColor rgb="FF00B050"/>
      <rgbColor rgb="FF202122"/>
      <rgbColor rgb="FF212529"/>
      <rgbColor rgb="FFF10D0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1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2" width="22.86"/>
    <col collapsed="false" customWidth="true" hidden="false" outlineLevel="0" max="3" min="3" style="3" width="24.86"/>
    <col collapsed="false" customWidth="true" hidden="false" outlineLevel="0" max="4" min="4" style="2" width="10.71"/>
    <col collapsed="false" customWidth="false" hidden="false" outlineLevel="0" max="12" min="5" style="2" width="9.14"/>
    <col collapsed="false" customWidth="true" hidden="false" outlineLevel="0" max="14" min="13" style="2" width="6.86"/>
    <col collapsed="false" customWidth="true" hidden="false" outlineLevel="0" max="15" min="15" style="2" width="27.94"/>
    <col collapsed="false" customWidth="true" hidden="false" outlineLevel="0" max="18" min="16" style="2" width="6.86"/>
    <col collapsed="false" customWidth="true" hidden="false" outlineLevel="0" max="19" min="19" style="2" width="10.71"/>
    <col collapsed="false" customWidth="false" hidden="false" outlineLevel="0" max="16384" min="20" style="2" width="9.14"/>
  </cols>
  <sheetData>
    <row r="1" s="1" customFormat="true" ht="16.4" hidden="false" customHeight="false" outlineLevel="0" collapsed="false">
      <c r="A1" s="4" t="s">
        <v>0</v>
      </c>
      <c r="B1" s="1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9</v>
      </c>
      <c r="M1" s="1" t="s">
        <v>2</v>
      </c>
      <c r="N1" s="1" t="s">
        <v>3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</row>
    <row r="2" customFormat="false" ht="16.4" hidden="false" customHeight="false" outlineLevel="0" collapsed="false">
      <c r="A2" s="1" t="s">
        <v>10</v>
      </c>
      <c r="B2" s="2" t="s">
        <v>11</v>
      </c>
      <c r="C2" s="3" t="e">
        <f aca="false">VLOOKUP(B2,'RISCHIO PESO 3.0'!B:B,1,FALSE())</f>
        <v>#N/A</v>
      </c>
      <c r="D2" s="2" t="e">
        <f aca="false">VLOOKUP(B2,'RISCHIO T2D 3.0'!B:B,1,FALSE())</f>
        <v>#N/A</v>
      </c>
      <c r="E2" s="2" t="e">
        <f aca="false">VLOOKUP(B2,'RISCHIO CARDIO 3.0'!B:B,1,FALSE())</f>
        <v>#N/A</v>
      </c>
      <c r="F2" s="2" t="e">
        <f aca="false">VLOOKUP(B2,'RISCHIO VITA 3.0'!C:C,1,FALSE())</f>
        <v>#N/A</v>
      </c>
      <c r="G2" s="2" t="e">
        <f aca="false">VLOOKUP(B2,'RISCHIO SPORT'!B:B,1,FALSE())</f>
        <v>#N/A</v>
      </c>
      <c r="H2" s="2" t="e">
        <f aca="false">VLOOKUP(B2,'RISCHIO AGING '!B:B,1,FALSE())</f>
        <v>#N/A</v>
      </c>
      <c r="I2" s="2" t="e">
        <f aca="false">VLOOKUP(B2,'RISCHIO MAMMA'!B:B,1,FALSE())</f>
        <v>#N/A</v>
      </c>
      <c r="J2" s="2" t="e">
        <f aca="false">VLOOKUP(B2,'RIS PLUS3.0'!B:B,1,FALSE())</f>
        <v>#N/A</v>
      </c>
      <c r="O2" s="2" t="s">
        <v>11</v>
      </c>
      <c r="P2" s="2" t="s">
        <v>11</v>
      </c>
    </row>
    <row r="3" customFormat="false" ht="16.4" hidden="false" customHeight="false" outlineLevel="0" collapsed="false">
      <c r="A3" s="1" t="s">
        <v>10</v>
      </c>
      <c r="B3" s="2" t="s">
        <v>12</v>
      </c>
      <c r="C3" s="3" t="e">
        <f aca="false">VLOOKUP(B3,'RISCHIO PESO 3.0'!B:B,1,FALSE())</f>
        <v>#N/A</v>
      </c>
      <c r="D3" s="2" t="e">
        <f aca="false">VLOOKUP(B3,'RISCHIO T2D 3.0'!B:B,1,FALSE())</f>
        <v>#N/A</v>
      </c>
      <c r="E3" s="2" t="e">
        <f aca="false">VLOOKUP(B3,'RISCHIO CARDIO 3.0'!B:B,1,FALSE())</f>
        <v>#N/A</v>
      </c>
      <c r="F3" s="2" t="e">
        <f aca="false">VLOOKUP(B3,'RISCHIO VITA 3.0'!C:C,1,FALSE())</f>
        <v>#N/A</v>
      </c>
      <c r="G3" s="2" t="e">
        <f aca="false">VLOOKUP(B3,'RISCHIO SPORT'!B:B,1,FALSE())</f>
        <v>#N/A</v>
      </c>
      <c r="H3" s="2" t="e">
        <f aca="false">VLOOKUP(B3,'RISCHIO AGING '!B:B,1,FALSE())</f>
        <v>#N/A</v>
      </c>
      <c r="I3" s="2" t="e">
        <f aca="false">VLOOKUP(B3,'RISCHIO MAMMA'!B:B,1,FALSE())</f>
        <v>#N/A</v>
      </c>
      <c r="J3" s="2" t="e">
        <f aca="false">VLOOKUP(B3,'RIS PLUS3.0'!B:B,1,FALSE())</f>
        <v>#N/A</v>
      </c>
      <c r="O3" s="2" t="s">
        <v>12</v>
      </c>
      <c r="P3" s="2" t="s">
        <v>12</v>
      </c>
    </row>
    <row r="4" customFormat="false" ht="16.4" hidden="false" customHeight="false" outlineLevel="0" collapsed="false">
      <c r="A4" s="1" t="s">
        <v>13</v>
      </c>
      <c r="B4" s="2" t="s">
        <v>14</v>
      </c>
      <c r="C4" s="3" t="e">
        <f aca="false">VLOOKUP(B4,'RISCHIO PESO 3.0'!B:B,1,FALSE())</f>
        <v>#N/A</v>
      </c>
      <c r="D4" s="2" t="e">
        <f aca="false">VLOOKUP(B4,'RISCHIO T2D 3.0'!B:B,1,FALSE())</f>
        <v>#N/A</v>
      </c>
      <c r="E4" s="2" t="e">
        <f aca="false">VLOOKUP(B4,'RISCHIO CARDIO 3.0'!B:B,1,FALSE())</f>
        <v>#N/A</v>
      </c>
      <c r="F4" s="2" t="e">
        <f aca="false">VLOOKUP(B4,'RISCHIO VITA 3.0'!C:C,1,FALSE())</f>
        <v>#N/A</v>
      </c>
      <c r="G4" s="2" t="e">
        <f aca="false">VLOOKUP(B4,'RISCHIO SPORT'!B:B,1,FALSE())</f>
        <v>#N/A</v>
      </c>
      <c r="H4" s="2" t="e">
        <f aca="false">VLOOKUP(B4,'RISCHIO AGING '!B:B,1,FALSE())</f>
        <v>#N/A</v>
      </c>
      <c r="I4" s="2" t="e">
        <f aca="false">VLOOKUP(B4,'RISCHIO MAMMA'!B:B,1,FALSE())</f>
        <v>#N/A</v>
      </c>
      <c r="J4" s="2" t="e">
        <f aca="false">VLOOKUP(B4,'RIS PLUS3.0'!B:B,1,FALSE())</f>
        <v>#N/A</v>
      </c>
      <c r="S4" s="2" t="s">
        <v>14</v>
      </c>
    </row>
    <row r="5" customFormat="false" ht="16.4" hidden="false" customHeight="false" outlineLevel="0" collapsed="false">
      <c r="A5" s="1" t="s">
        <v>13</v>
      </c>
      <c r="B5" s="2" t="s">
        <v>15</v>
      </c>
      <c r="C5" s="3" t="e">
        <f aca="false">VLOOKUP(B5,'RISCHIO PESO 3.0'!B:B,1,FALSE())</f>
        <v>#N/A</v>
      </c>
      <c r="D5" s="2" t="e">
        <f aca="false">VLOOKUP(B5,'RISCHIO T2D 3.0'!B:B,1,FALSE())</f>
        <v>#N/A</v>
      </c>
      <c r="E5" s="2" t="e">
        <f aca="false">VLOOKUP(B5,'RISCHIO CARDIO 3.0'!B:B,1,FALSE())</f>
        <v>#N/A</v>
      </c>
      <c r="F5" s="2" t="e">
        <f aca="false">VLOOKUP(B5,'RISCHIO VITA 3.0'!C:C,1,FALSE())</f>
        <v>#N/A</v>
      </c>
      <c r="G5" s="2" t="e">
        <f aca="false">VLOOKUP(B5,'RISCHIO SPORT'!B:B,1,FALSE())</f>
        <v>#N/A</v>
      </c>
      <c r="H5" s="2" t="e">
        <f aca="false">VLOOKUP(B5,'RISCHIO AGING '!B:B,1,FALSE())</f>
        <v>#N/A</v>
      </c>
      <c r="I5" s="2" t="e">
        <f aca="false">VLOOKUP(B5,'RISCHIO MAMMA'!B:B,1,FALSE())</f>
        <v>#N/A</v>
      </c>
      <c r="J5" s="2" t="e">
        <f aca="false">VLOOKUP(B5,'RIS PLUS3.0'!B:B,1,FALSE())</f>
        <v>#N/A</v>
      </c>
      <c r="S5" s="2" t="s">
        <v>15</v>
      </c>
    </row>
    <row r="6" customFormat="false" ht="16.4" hidden="false" customHeight="false" outlineLevel="0" collapsed="false">
      <c r="A6" s="1" t="s">
        <v>13</v>
      </c>
      <c r="B6" s="2" t="s">
        <v>16</v>
      </c>
      <c r="C6" s="3" t="e">
        <f aca="false">VLOOKUP(B6,'RISCHIO PESO 3.0'!B:B,1,FALSE())</f>
        <v>#N/A</v>
      </c>
      <c r="D6" s="2" t="e">
        <f aca="false">VLOOKUP(B6,'RISCHIO T2D 3.0'!B:B,1,FALSE())</f>
        <v>#N/A</v>
      </c>
      <c r="E6" s="2" t="e">
        <f aca="false">VLOOKUP(B6,'RISCHIO CARDIO 3.0'!B:B,1,FALSE())</f>
        <v>#N/A</v>
      </c>
      <c r="F6" s="2" t="e">
        <f aca="false">VLOOKUP(B6,'RISCHIO VITA 3.0'!C:C,1,FALSE())</f>
        <v>#N/A</v>
      </c>
      <c r="G6" s="2" t="e">
        <f aca="false">VLOOKUP(B6,'RISCHIO SPORT'!B:B,1,FALSE())</f>
        <v>#N/A</v>
      </c>
      <c r="H6" s="2" t="e">
        <f aca="false">VLOOKUP(B6,'RISCHIO AGING '!B:B,1,FALSE())</f>
        <v>#N/A</v>
      </c>
      <c r="I6" s="2" t="e">
        <f aca="false">VLOOKUP(B6,'RISCHIO MAMMA'!B:B,1,FALSE())</f>
        <v>#N/A</v>
      </c>
      <c r="J6" s="2" t="e">
        <f aca="false">VLOOKUP(B6,'RIS PLUS3.0'!B:B,1,FALSE())</f>
        <v>#N/A</v>
      </c>
      <c r="S6" s="2" t="s">
        <v>16</v>
      </c>
    </row>
    <row r="7" customFormat="false" ht="16.4" hidden="false" customHeight="false" outlineLevel="0" collapsed="false">
      <c r="A7" s="1" t="s">
        <v>17</v>
      </c>
      <c r="B7" s="2" t="s">
        <v>18</v>
      </c>
      <c r="C7" s="3" t="e">
        <f aca="false">VLOOKUP(B7,'RISCHIO PESO 3.0'!B:B,1,FALSE())</f>
        <v>#N/A</v>
      </c>
      <c r="D7" s="2" t="e">
        <f aca="false">VLOOKUP(B7,'RISCHIO T2D 3.0'!B:B,1,FALSE())</f>
        <v>#N/A</v>
      </c>
      <c r="E7" s="2" t="e">
        <f aca="false">VLOOKUP(B7,'RISCHIO CARDIO 3.0'!B:B,1,FALSE())</f>
        <v>#N/A</v>
      </c>
      <c r="F7" s="2" t="e">
        <f aca="false">VLOOKUP(B7,'RISCHIO VITA 3.0'!C:C,1,FALSE())</f>
        <v>#N/A</v>
      </c>
      <c r="G7" s="2" t="e">
        <f aca="false">VLOOKUP(B7,'RISCHIO SPORT'!B:B,1,FALSE())</f>
        <v>#N/A</v>
      </c>
      <c r="H7" s="2" t="e">
        <f aca="false">VLOOKUP(B7,'RISCHIO AGING '!B:B,1,FALSE())</f>
        <v>#N/A</v>
      </c>
      <c r="I7" s="2" t="str">
        <f aca="false">VLOOKUP(B7,'RISCHIO MAMMA'!B:B,1,FALSE())</f>
        <v>rs4654748</v>
      </c>
      <c r="J7" s="2" t="e">
        <f aca="false">VLOOKUP(B7,'RIS PLUS3.0'!B:B,1,FALSE())</f>
        <v>#N/A</v>
      </c>
      <c r="S7" s="2" t="s">
        <v>18</v>
      </c>
    </row>
    <row r="8" customFormat="false" ht="16.4" hidden="false" customHeight="false" outlineLevel="0" collapsed="false">
      <c r="A8" s="1" t="s">
        <v>17</v>
      </c>
      <c r="B8" s="2" t="s">
        <v>19</v>
      </c>
      <c r="C8" s="3" t="e">
        <f aca="false">VLOOKUP(B8,'RISCHIO PESO 3.0'!B:B,1,FALSE())</f>
        <v>#N/A</v>
      </c>
      <c r="D8" s="2" t="e">
        <f aca="false">VLOOKUP(B8,'RISCHIO T2D 3.0'!B:B,1,FALSE())</f>
        <v>#N/A</v>
      </c>
      <c r="E8" s="2" t="e">
        <f aca="false">VLOOKUP(B8,'RISCHIO CARDIO 3.0'!B:B,1,FALSE())</f>
        <v>#N/A</v>
      </c>
      <c r="F8" s="2" t="e">
        <f aca="false">VLOOKUP(B8,'RISCHIO VITA 3.0'!C:C,1,FALSE())</f>
        <v>#N/A</v>
      </c>
      <c r="G8" s="2" t="e">
        <f aca="false">VLOOKUP(B8,'RISCHIO SPORT'!B:B,1,FALSE())</f>
        <v>#N/A</v>
      </c>
      <c r="H8" s="2" t="e">
        <f aca="false">VLOOKUP(B8,'RISCHIO AGING '!B:B,1,FALSE())</f>
        <v>#N/A</v>
      </c>
      <c r="I8" s="2" t="str">
        <f aca="false">VLOOKUP(B8,'RISCHIO MAMMA'!B:B,1,FALSE())</f>
        <v>rs1256335</v>
      </c>
      <c r="J8" s="2" t="e">
        <f aca="false">VLOOKUP(B8,'RIS PLUS3.0'!B:B,1,FALSE())</f>
        <v>#N/A</v>
      </c>
      <c r="S8" s="2" t="s">
        <v>19</v>
      </c>
    </row>
    <row r="9" customFormat="false" ht="16.4" hidden="false" customHeight="false" outlineLevel="0" collapsed="false">
      <c r="A9" s="1" t="s">
        <v>20</v>
      </c>
      <c r="B9" s="2" t="s">
        <v>21</v>
      </c>
      <c r="C9" s="3" t="e">
        <f aca="false">VLOOKUP(B9,'RISCHIO PESO 3.0'!B:B,1,FALSE())</f>
        <v>#N/A</v>
      </c>
      <c r="D9" s="2" t="e">
        <f aca="false">VLOOKUP(B9,'RISCHIO T2D 3.0'!B:B,1,FALSE())</f>
        <v>#N/A</v>
      </c>
      <c r="E9" s="2" t="e">
        <f aca="false">VLOOKUP(B9,'RISCHIO CARDIO 3.0'!B:B,1,FALSE())</f>
        <v>#N/A</v>
      </c>
      <c r="F9" s="2" t="e">
        <f aca="false">VLOOKUP(B9,'RISCHIO VITA 3.0'!C:C,1,FALSE())</f>
        <v>#N/A</v>
      </c>
      <c r="G9" s="2" t="e">
        <f aca="false">VLOOKUP(B9,'RISCHIO SPORT'!B:B,1,FALSE())</f>
        <v>#N/A</v>
      </c>
      <c r="H9" s="2" t="e">
        <f aca="false">VLOOKUP(B9,'RISCHIO AGING '!B:B,1,FALSE())</f>
        <v>#N/A</v>
      </c>
      <c r="I9" s="2" t="str">
        <f aca="false">VLOOKUP(B9,'RISCHIO MAMMA'!B:B,1,FALSE())</f>
        <v>rs35623192</v>
      </c>
      <c r="J9" s="2" t="e">
        <f aca="false">VLOOKUP(B9,'RIS PLUS3.0'!B:B,1,FALSE())</f>
        <v>#N/A</v>
      </c>
      <c r="S9" s="2" t="s">
        <v>21</v>
      </c>
    </row>
    <row r="10" customFormat="false" ht="16.4" hidden="false" customHeight="false" outlineLevel="0" collapsed="false">
      <c r="A10" s="1" t="s">
        <v>20</v>
      </c>
      <c r="B10" s="2" t="s">
        <v>22</v>
      </c>
      <c r="C10" s="3" t="e">
        <f aca="false">VLOOKUP(B10,'RISCHIO PESO 3.0'!B:B,1,FALSE())</f>
        <v>#N/A</v>
      </c>
      <c r="D10" s="2" t="e">
        <f aca="false">VLOOKUP(B10,'RISCHIO T2D 3.0'!B:B,1,FALSE())</f>
        <v>#N/A</v>
      </c>
      <c r="E10" s="2" t="e">
        <f aca="false">VLOOKUP(B10,'RISCHIO CARDIO 3.0'!B:B,1,FALSE())</f>
        <v>#N/A</v>
      </c>
      <c r="F10" s="2" t="e">
        <f aca="false">VLOOKUP(B10,'RISCHIO VITA 3.0'!C:C,1,FALSE())</f>
        <v>#N/A</v>
      </c>
      <c r="G10" s="2" t="e">
        <f aca="false">VLOOKUP(B10,'RISCHIO SPORT'!B:B,1,FALSE())</f>
        <v>#N/A</v>
      </c>
      <c r="H10" s="2" t="e">
        <f aca="false">VLOOKUP(B10,'RISCHIO AGING '!B:B,1,FALSE())</f>
        <v>#N/A</v>
      </c>
      <c r="I10" s="2" t="str">
        <f aca="false">VLOOKUP(B10,'RISCHIO MAMMA'!B:B,1,FALSE())</f>
        <v>rs35235055</v>
      </c>
      <c r="J10" s="2" t="e">
        <f aca="false">VLOOKUP(B10,'RIS PLUS3.0'!B:B,1,FALSE())</f>
        <v>#N/A</v>
      </c>
      <c r="S10" s="2" t="s">
        <v>22</v>
      </c>
    </row>
    <row r="11" s="7" customFormat="true" ht="15" hidden="false" customHeight="false" outlineLevel="0" collapsed="false">
      <c r="A11" s="6" t="s">
        <v>23</v>
      </c>
      <c r="B11" s="7" t="s">
        <v>24</v>
      </c>
      <c r="C11" s="8" t="e">
        <f aca="false">VLOOKUP(B11,'RISCHIO PESO 3.0'!B:B,1,FALSE())</f>
        <v>#N/A</v>
      </c>
      <c r="D11" s="7" t="e">
        <f aca="false">VLOOKUP(B11,'RISCHIO T2D 3.0'!B:B,1,FALSE())</f>
        <v>#N/A</v>
      </c>
      <c r="E11" s="7" t="e">
        <f aca="false">VLOOKUP(B11,'RISCHIO CARDIO 3.0'!B:B,1,FALSE())</f>
        <v>#N/A</v>
      </c>
      <c r="F11" s="7" t="e">
        <f aca="false">VLOOKUP(B11,'RISCHIO VITA 3.0'!C:C,1,FALSE())</f>
        <v>#N/A</v>
      </c>
      <c r="G11" s="7" t="e">
        <f aca="false">VLOOKUP(B11,'RISCHIO SPORT'!B:B,1,FALSE())</f>
        <v>#N/A</v>
      </c>
      <c r="H11" s="7" t="e">
        <f aca="false">VLOOKUP(B11,'RISCHIO AGING '!B:B,1,FALSE())</f>
        <v>#N/A</v>
      </c>
      <c r="I11" s="7" t="e">
        <f aca="false">VLOOKUP(B11,'RISCHIO MAMMA'!B:B,1,FALSE())</f>
        <v>#N/A</v>
      </c>
      <c r="J11" s="7" t="e">
        <f aca="false">VLOOKUP(B11,'RIS PLUS3.0'!B:B,1,FALSE())</f>
        <v>#N/A</v>
      </c>
      <c r="L11" s="9"/>
      <c r="M11" s="9"/>
      <c r="N11" s="9"/>
      <c r="O11" s="9"/>
      <c r="P11" s="9"/>
      <c r="Q11" s="9"/>
      <c r="R11" s="9"/>
      <c r="S11" s="9"/>
    </row>
    <row r="12" customFormat="false" ht="16.4" hidden="false" customHeight="false" outlineLevel="0" collapsed="false">
      <c r="A12" s="1" t="s">
        <v>25</v>
      </c>
      <c r="B12" s="2" t="s">
        <v>26</v>
      </c>
      <c r="C12" s="3" t="str">
        <f aca="false">VLOOKUP(B12,'RISCHIO PESO 3.0'!B:B,1,FALSE())</f>
        <v>rs11208659</v>
      </c>
      <c r="D12" s="2" t="e">
        <f aca="false">VLOOKUP(B12,'RISCHIO T2D 3.0'!B:B,1,FALSE())</f>
        <v>#N/A</v>
      </c>
      <c r="E12" s="2" t="e">
        <f aca="false">VLOOKUP(B12,'RISCHIO CARDIO 3.0'!B:B,1,FALSE())</f>
        <v>#N/A</v>
      </c>
      <c r="F12" s="2" t="e">
        <f aca="false">VLOOKUP(B12,'RISCHIO VITA 3.0'!C:C,1,FALSE())</f>
        <v>#N/A</v>
      </c>
      <c r="G12" s="2" t="e">
        <f aca="false">VLOOKUP(B12,'RISCHIO SPORT'!B:B,1,FALSE())</f>
        <v>#N/A</v>
      </c>
      <c r="H12" s="2" t="e">
        <f aca="false">VLOOKUP(B12,'RISCHIO AGING '!B:B,1,FALSE())</f>
        <v>#N/A</v>
      </c>
      <c r="I12" s="2" t="e">
        <f aca="false">VLOOKUP(B12,'RISCHIO MAMMA'!B:B,1,FALSE())</f>
        <v>#N/A</v>
      </c>
      <c r="J12" s="2" t="e">
        <f aca="false">VLOOKUP(B12,'RIS PLUS3.0'!B:B,1,FALSE())</f>
        <v>#N/A</v>
      </c>
      <c r="M12" s="2" t="s">
        <v>26</v>
      </c>
    </row>
    <row r="13" customFormat="false" ht="16.4" hidden="false" customHeight="false" outlineLevel="0" collapsed="false">
      <c r="A13" s="1" t="s">
        <v>27</v>
      </c>
      <c r="B13" s="2" t="s">
        <v>28</v>
      </c>
      <c r="C13" s="3" t="e">
        <f aca="false">VLOOKUP(B13,'RISCHIO PESO 3.0'!B:B,1,FALSE())</f>
        <v>#N/A</v>
      </c>
      <c r="D13" s="2" t="e">
        <f aca="false">VLOOKUP(B13,'RISCHIO T2D 3.0'!B:B,1,FALSE())</f>
        <v>#N/A</v>
      </c>
      <c r="E13" s="2" t="e">
        <f aca="false">VLOOKUP(B13,'RISCHIO CARDIO 3.0'!B:B,1,FALSE())</f>
        <v>#N/A</v>
      </c>
      <c r="F13" s="2" t="e">
        <f aca="false">VLOOKUP(B13,'RISCHIO VITA 3.0'!C:C,1,FALSE())</f>
        <v>#N/A</v>
      </c>
      <c r="G13" s="2" t="str">
        <f aca="false">VLOOKUP(B13,'RISCHIO SPORT'!B:B,1,FALSE())</f>
        <v>rs1049434</v>
      </c>
      <c r="H13" s="2" t="e">
        <f aca="false">VLOOKUP(B13,'RISCHIO AGING '!B:B,1,FALSE())</f>
        <v>#N/A</v>
      </c>
      <c r="I13" s="2" t="e">
        <f aca="false">VLOOKUP(B13,'RISCHIO MAMMA'!B:B,1,FALSE())</f>
        <v>#N/A</v>
      </c>
      <c r="J13" s="2" t="e">
        <f aca="false">VLOOKUP(B13,'RIS PLUS3.0'!B:B,1,FALSE())</f>
        <v>#N/A</v>
      </c>
      <c r="Q13" s="2" t="s">
        <v>28</v>
      </c>
    </row>
    <row r="14" s="7" customFormat="true" ht="15" hidden="false" customHeight="false" outlineLevel="0" collapsed="false">
      <c r="A14" s="6" t="s">
        <v>29</v>
      </c>
      <c r="B14" s="7" t="s">
        <v>30</v>
      </c>
      <c r="C14" s="8" t="e">
        <f aca="false">VLOOKUP(B14,'RISCHIO PESO 3.0'!B:B,1,FALSE())</f>
        <v>#N/A</v>
      </c>
      <c r="D14" s="7" t="e">
        <f aca="false">VLOOKUP(B14,'RISCHIO T2D 3.0'!B:B,1,FALSE())</f>
        <v>#N/A</v>
      </c>
      <c r="E14" s="7" t="e">
        <f aca="false">VLOOKUP(B14,'RISCHIO CARDIO 3.0'!B:B,1,FALSE())</f>
        <v>#N/A</v>
      </c>
      <c r="F14" s="7" t="e">
        <f aca="false">VLOOKUP(B14,'RISCHIO VITA 3.0'!C:C,1,FALSE())</f>
        <v>#N/A</v>
      </c>
      <c r="G14" s="7" t="e">
        <f aca="false">VLOOKUP(B14,'RISCHIO SPORT'!B:B,1,FALSE())</f>
        <v>#N/A</v>
      </c>
      <c r="H14" s="7" t="e">
        <f aca="false">VLOOKUP(B14,'RISCHIO AGING '!B:B,1,FALSE())</f>
        <v>#N/A</v>
      </c>
      <c r="I14" s="7" t="e">
        <f aca="false">VLOOKUP(B14,'RISCHIO MAMMA'!B:B,1,FALSE())</f>
        <v>#N/A</v>
      </c>
      <c r="J14" s="7" t="e">
        <f aca="false">VLOOKUP(B14,'RIS PLUS3.0'!B:B,1,FALSE())</f>
        <v>#N/A</v>
      </c>
      <c r="L14" s="9"/>
      <c r="M14" s="9"/>
      <c r="N14" s="9"/>
      <c r="O14" s="9"/>
      <c r="P14" s="9"/>
      <c r="Q14" s="9"/>
      <c r="R14" s="9"/>
      <c r="S14" s="9"/>
    </row>
    <row r="15" customFormat="false" ht="16.4" hidden="false" customHeight="false" outlineLevel="0" collapsed="false">
      <c r="A15" s="1" t="s">
        <v>31</v>
      </c>
      <c r="B15" s="2" t="s">
        <v>32</v>
      </c>
      <c r="C15" s="3" t="e">
        <f aca="false">VLOOKUP(B15,'RISCHIO PESO 3.0'!B:B,1,FALSE())</f>
        <v>#N/A</v>
      </c>
      <c r="D15" s="2" t="e">
        <f aca="false">VLOOKUP(B15,'RISCHIO T2D 3.0'!B:B,1,FALSE())</f>
        <v>#N/A</v>
      </c>
      <c r="E15" s="2" t="e">
        <f aca="false">VLOOKUP(B15,'RISCHIO CARDIO 3.0'!B:B,1,FALSE())</f>
        <v>#N/A</v>
      </c>
      <c r="F15" s="2" t="e">
        <f aca="false">VLOOKUP(B15,'RISCHIO VITA 3.0'!C:C,1,FALSE())</f>
        <v>#N/A</v>
      </c>
      <c r="G15" s="2" t="e">
        <f aca="false">VLOOKUP(B15,'RISCHIO SPORT'!B:B,1,FALSE())</f>
        <v>#N/A</v>
      </c>
      <c r="H15" s="2" t="str">
        <f aca="false">VLOOKUP(B15,'RISCHIO AGING '!B:B,1,FALSE())</f>
        <v>rs1205</v>
      </c>
      <c r="I15" s="2" t="e">
        <f aca="false">VLOOKUP(B15,'RISCHIO MAMMA'!B:B,1,FALSE())</f>
        <v>#N/A</v>
      </c>
      <c r="J15" s="2" t="e">
        <f aca="false">VLOOKUP(B15,'RIS PLUS3.0'!B:B,1,FALSE())</f>
        <v>#N/A</v>
      </c>
      <c r="R15" s="2" t="s">
        <v>32</v>
      </c>
    </row>
    <row r="16" customFormat="false" ht="16.4" hidden="false" customHeight="false" outlineLevel="0" collapsed="false">
      <c r="A16" s="1" t="s">
        <v>33</v>
      </c>
      <c r="B16" s="2" t="s">
        <v>34</v>
      </c>
      <c r="C16" s="3" t="str">
        <f aca="false">VLOOKUP(B16,'RISCHIO PESO 3.0'!B:B,1,FALSE())</f>
        <v>rs5082</v>
      </c>
      <c r="D16" s="2" t="e">
        <f aca="false">VLOOKUP(B16,'RISCHIO T2D 3.0'!B:B,1,FALSE())</f>
        <v>#N/A</v>
      </c>
      <c r="E16" s="2" t="e">
        <f aca="false">VLOOKUP(B16,'RISCHIO CARDIO 3.0'!B:B,1,FALSE())</f>
        <v>#N/A</v>
      </c>
      <c r="F16" s="2" t="e">
        <f aca="false">VLOOKUP(B16,'RISCHIO VITA 3.0'!C:C,1,FALSE())</f>
        <v>#N/A</v>
      </c>
      <c r="G16" s="2" t="e">
        <f aca="false">VLOOKUP(B16,'RISCHIO SPORT'!B:B,1,FALSE())</f>
        <v>#N/A</v>
      </c>
      <c r="H16" s="2" t="e">
        <f aca="false">VLOOKUP(B16,'RISCHIO AGING '!B:B,1,FALSE())</f>
        <v>#N/A</v>
      </c>
      <c r="I16" s="2" t="e">
        <f aca="false">VLOOKUP(B16,'RISCHIO MAMMA'!B:B,1,FALSE())</f>
        <v>#N/A</v>
      </c>
      <c r="J16" s="2" t="e">
        <f aca="false">VLOOKUP(B16,'RIS PLUS3.0'!B:B,1,FALSE())</f>
        <v>#N/A</v>
      </c>
      <c r="M16" s="2" t="s">
        <v>34</v>
      </c>
    </row>
    <row r="17" customFormat="false" ht="16.4" hidden="false" customHeight="false" outlineLevel="0" collapsed="false">
      <c r="A17" s="1" t="s">
        <v>35</v>
      </c>
      <c r="B17" s="2" t="s">
        <v>36</v>
      </c>
      <c r="C17" s="3" t="e">
        <f aca="false">VLOOKUP(B17,'RISCHIO PESO 3.0'!B:B,1,FALSE())</f>
        <v>#N/A</v>
      </c>
      <c r="D17" s="2" t="e">
        <f aca="false">VLOOKUP(B17,'RISCHIO T2D 3.0'!B:B,1,FALSE())</f>
        <v>#N/A</v>
      </c>
      <c r="E17" s="2" t="e">
        <f aca="false">VLOOKUP(B17,'RISCHIO CARDIO 3.0'!B:B,1,FALSE())</f>
        <v>#N/A</v>
      </c>
      <c r="F17" s="2" t="e">
        <f aca="false">VLOOKUP(B17,'RISCHIO VITA 3.0'!C:C,1,FALSE())</f>
        <v>#N/A</v>
      </c>
      <c r="G17" s="2" t="e">
        <f aca="false">VLOOKUP(B17,'RISCHIO SPORT'!B:B,1,FALSE())</f>
        <v>#N/A</v>
      </c>
      <c r="H17" s="2" t="e">
        <f aca="false">VLOOKUP(B17,'RISCHIO AGING '!B:B,1,FALSE())</f>
        <v>#N/A</v>
      </c>
      <c r="I17" s="2" t="e">
        <f aca="false">VLOOKUP(B17,'RISCHIO MAMMA'!B:B,1,FALSE())</f>
        <v>#N/A</v>
      </c>
      <c r="J17" s="2" t="e">
        <f aca="false">VLOOKUP(B17,'RIS PLUS3.0'!B:B,1,FALSE())</f>
        <v>#N/A</v>
      </c>
      <c r="S17" s="2" t="s">
        <v>36</v>
      </c>
    </row>
    <row r="18" customFormat="false" ht="16.4" hidden="false" customHeight="false" outlineLevel="0" collapsed="false">
      <c r="A18" s="1" t="s">
        <v>35</v>
      </c>
      <c r="B18" s="2" t="s">
        <v>37</v>
      </c>
      <c r="C18" s="3" t="e">
        <f aca="false">VLOOKUP(B18,'RISCHIO PESO 3.0'!B:B,1,FALSE())</f>
        <v>#N/A</v>
      </c>
      <c r="D18" s="2" t="e">
        <f aca="false">VLOOKUP(B18,'RISCHIO T2D 3.0'!B:B,1,FALSE())</f>
        <v>#N/A</v>
      </c>
      <c r="E18" s="2" t="e">
        <f aca="false">VLOOKUP(B18,'RISCHIO CARDIO 3.0'!B:B,1,FALSE())</f>
        <v>#N/A</v>
      </c>
      <c r="F18" s="2" t="e">
        <f aca="false">VLOOKUP(B18,'RISCHIO VITA 3.0'!C:C,1,FALSE())</f>
        <v>#N/A</v>
      </c>
      <c r="G18" s="2" t="e">
        <f aca="false">VLOOKUP(B18,'RISCHIO SPORT'!B:B,1,FALSE())</f>
        <v>#N/A</v>
      </c>
      <c r="H18" s="2" t="e">
        <f aca="false">VLOOKUP(B18,'RISCHIO AGING '!B:B,1,FALSE())</f>
        <v>#N/A</v>
      </c>
      <c r="I18" s="2" t="str">
        <f aca="false">VLOOKUP(B18,'RISCHIO MAMMA'!B:B,1,FALSE())</f>
        <v>rs5051</v>
      </c>
      <c r="J18" s="2" t="e">
        <f aca="false">VLOOKUP(B18,'RIS PLUS3.0'!B:B,1,FALSE())</f>
        <v>#N/A</v>
      </c>
      <c r="S18" s="2" t="s">
        <v>37</v>
      </c>
    </row>
    <row r="19" customFormat="false" ht="16.4" hidden="false" customHeight="false" outlineLevel="0" collapsed="false">
      <c r="A19" s="1" t="s">
        <v>35</v>
      </c>
      <c r="B19" s="2" t="s">
        <v>38</v>
      </c>
      <c r="C19" s="3" t="e">
        <f aca="false">VLOOKUP(B19,'RISCHIO PESO 3.0'!B:B,1,FALSE())</f>
        <v>#N/A</v>
      </c>
      <c r="D19" s="2" t="e">
        <f aca="false">VLOOKUP(B19,'RISCHIO T2D 3.0'!B:B,1,FALSE())</f>
        <v>#N/A</v>
      </c>
      <c r="E19" s="2" t="e">
        <f aca="false">VLOOKUP(B19,'RISCHIO CARDIO 3.0'!B:B,1,FALSE())</f>
        <v>#N/A</v>
      </c>
      <c r="F19" s="2" t="e">
        <f aca="false">VLOOKUP(B19,'RISCHIO VITA 3.0'!C:C,1,FALSE())</f>
        <v>#N/A</v>
      </c>
      <c r="G19" s="2" t="e">
        <f aca="false">VLOOKUP(B19,'RISCHIO SPORT'!B:B,1,FALSE())</f>
        <v>#N/A</v>
      </c>
      <c r="H19" s="2" t="e">
        <f aca="false">VLOOKUP(B19,'RISCHIO AGING '!B:B,1,FALSE())</f>
        <v>#N/A</v>
      </c>
      <c r="I19" s="2" t="str">
        <f aca="false">VLOOKUP(B19,'RISCHIO MAMMA'!B:B,1,FALSE())</f>
        <v>rs5050</v>
      </c>
      <c r="J19" s="2" t="e">
        <f aca="false">VLOOKUP(B19,'RIS PLUS3.0'!B:B,1,FALSE())</f>
        <v>#N/A</v>
      </c>
      <c r="S19" s="2" t="s">
        <v>38</v>
      </c>
    </row>
    <row r="20" customFormat="false" ht="16.4" hidden="false" customHeight="false" outlineLevel="0" collapsed="false">
      <c r="A20" s="1" t="s">
        <v>35</v>
      </c>
      <c r="B20" s="2" t="s">
        <v>39</v>
      </c>
      <c r="C20" s="3" t="e">
        <f aca="false">VLOOKUP(B20,'RISCHIO PESO 3.0'!B:B,1,FALSE())</f>
        <v>#N/A</v>
      </c>
      <c r="D20" s="2" t="e">
        <f aca="false">VLOOKUP(B20,'RISCHIO T2D 3.0'!B:B,1,FALSE())</f>
        <v>#N/A</v>
      </c>
      <c r="E20" s="2" t="e">
        <f aca="false">VLOOKUP(B20,'RISCHIO CARDIO 3.0'!B:B,1,FALSE())</f>
        <v>#N/A</v>
      </c>
      <c r="F20" s="2" t="e">
        <f aca="false">VLOOKUP(B20,'RISCHIO VITA 3.0'!C:C,1,FALSE())</f>
        <v>#N/A</v>
      </c>
      <c r="G20" s="2" t="e">
        <f aca="false">VLOOKUP(B20,'RISCHIO SPORT'!B:B,1,FALSE())</f>
        <v>#N/A</v>
      </c>
      <c r="H20" s="2" t="e">
        <f aca="false">VLOOKUP(B20,'RISCHIO AGING '!B:B,1,FALSE())</f>
        <v>#N/A</v>
      </c>
      <c r="I20" s="2" t="str">
        <f aca="false">VLOOKUP(B20,'RISCHIO MAMMA'!B:B,1,FALSE())</f>
        <v>rs11568020</v>
      </c>
      <c r="J20" s="2" t="e">
        <f aca="false">VLOOKUP(B20,'RIS PLUS3.0'!B:B,1,FALSE())</f>
        <v>#N/A</v>
      </c>
      <c r="S20" s="2" t="s">
        <v>39</v>
      </c>
    </row>
    <row r="21" customFormat="false" ht="16.4" hidden="false" customHeight="false" outlineLevel="0" collapsed="false">
      <c r="A21" s="1" t="s">
        <v>40</v>
      </c>
      <c r="B21" s="2" t="s">
        <v>41</v>
      </c>
      <c r="C21" s="3" t="str">
        <f aca="false">VLOOKUP(B21,'RISCHIO PESO 3.0'!B:B,1,FALSE())</f>
        <v>rs6548238</v>
      </c>
      <c r="D21" s="2" t="e">
        <f aca="false">VLOOKUP(B21,'RISCHIO T2D 3.0'!B:B,1,FALSE())</f>
        <v>#N/A</v>
      </c>
      <c r="E21" s="2" t="e">
        <f aca="false">VLOOKUP(B21,'RISCHIO CARDIO 3.0'!B:B,1,FALSE())</f>
        <v>#N/A</v>
      </c>
      <c r="F21" s="2" t="e">
        <f aca="false">VLOOKUP(B21,'RISCHIO VITA 3.0'!C:C,1,FALSE())</f>
        <v>#N/A</v>
      </c>
      <c r="G21" s="2" t="e">
        <f aca="false">VLOOKUP(B21,'RISCHIO SPORT'!B:B,1,FALSE())</f>
        <v>#N/A</v>
      </c>
      <c r="H21" s="2" t="e">
        <f aca="false">VLOOKUP(B21,'RISCHIO AGING '!B:B,1,FALSE())</f>
        <v>#N/A</v>
      </c>
      <c r="I21" s="2" t="e">
        <f aca="false">VLOOKUP(B21,'RISCHIO MAMMA'!B:B,1,FALSE())</f>
        <v>#N/A</v>
      </c>
      <c r="J21" s="2" t="e">
        <f aca="false">VLOOKUP(B21,'RIS PLUS3.0'!B:B,1,FALSE())</f>
        <v>#N/A</v>
      </c>
      <c r="M21" s="2" t="s">
        <v>41</v>
      </c>
    </row>
    <row r="22" customFormat="false" ht="16.4" hidden="false" customHeight="false" outlineLevel="0" collapsed="false">
      <c r="A22" s="1" t="s">
        <v>42</v>
      </c>
      <c r="B22" s="2" t="s">
        <v>43</v>
      </c>
      <c r="C22" s="3" t="e">
        <f aca="false">VLOOKUP(B22,'RISCHIO PESO 3.0'!B:B,1,FALSE())</f>
        <v>#N/A</v>
      </c>
      <c r="D22" s="2" t="str">
        <f aca="false">VLOOKUP(B22,'RISCHIO T2D 3.0'!B:B,1,FALSE())</f>
        <v>rs780094</v>
      </c>
      <c r="E22" s="2" t="e">
        <f aca="false">VLOOKUP(B22,'RISCHIO CARDIO 3.0'!B:B,1,FALSE())</f>
        <v>#N/A</v>
      </c>
      <c r="F22" s="2" t="e">
        <f aca="false">VLOOKUP(B22,'RISCHIO VITA 3.0'!C:C,1,FALSE())</f>
        <v>#N/A</v>
      </c>
      <c r="G22" s="2" t="e">
        <f aca="false">VLOOKUP(B22,'RISCHIO SPORT'!B:B,1,FALSE())</f>
        <v>#N/A</v>
      </c>
      <c r="H22" s="2" t="e">
        <f aca="false">VLOOKUP(B22,'RISCHIO AGING '!B:B,1,FALSE())</f>
        <v>#N/A</v>
      </c>
      <c r="I22" s="2" t="e">
        <f aca="false">VLOOKUP(B22,'RISCHIO MAMMA'!B:B,1,FALSE())</f>
        <v>#N/A</v>
      </c>
      <c r="J22" s="2" t="e">
        <f aca="false">VLOOKUP(B22,'RIS PLUS3.0'!B:B,1,FALSE())</f>
        <v>#N/A</v>
      </c>
      <c r="N22" s="2" t="s">
        <v>43</v>
      </c>
      <c r="O22" s="2" t="s">
        <v>43</v>
      </c>
    </row>
    <row r="23" customFormat="false" ht="16.4" hidden="false" customHeight="false" outlineLevel="0" collapsed="false">
      <c r="A23" s="1" t="s">
        <v>44</v>
      </c>
      <c r="B23" s="2" t="s">
        <v>45</v>
      </c>
      <c r="C23" s="3" t="e">
        <f aca="false">VLOOKUP(B23,'RISCHIO PESO 3.0'!B:B,1,FALSE())</f>
        <v>#N/A</v>
      </c>
      <c r="D23" s="2" t="e">
        <f aca="false">VLOOKUP(B23,'RISCHIO T2D 3.0'!B:B,1,FALSE())</f>
        <v>#N/A</v>
      </c>
      <c r="E23" s="2" t="e">
        <f aca="false">VLOOKUP(B23,'RISCHIO CARDIO 3.0'!B:B,1,FALSE())</f>
        <v>#N/A</v>
      </c>
      <c r="F23" s="2" t="e">
        <f aca="false">VLOOKUP(B23,'RISCHIO VITA 3.0'!C:C,1,FALSE())</f>
        <v>#N/A</v>
      </c>
      <c r="G23" s="2" t="e">
        <f aca="false">VLOOKUP(B23,'RISCHIO SPORT'!B:B,1,FALSE())</f>
        <v>#N/A</v>
      </c>
      <c r="H23" s="2" t="str">
        <f aca="false">VLOOKUP(B23,'RISCHIO AGING '!B:B,1,FALSE())</f>
        <v>rs1143634</v>
      </c>
      <c r="I23" s="2" t="e">
        <f aca="false">VLOOKUP(B23,'RISCHIO MAMMA'!B:B,1,FALSE())</f>
        <v>#N/A</v>
      </c>
      <c r="J23" s="2" t="e">
        <f aca="false">VLOOKUP(B23,'RIS PLUS3.0'!B:B,1,FALSE())</f>
        <v>#N/A</v>
      </c>
      <c r="R23" s="2" t="s">
        <v>45</v>
      </c>
    </row>
    <row r="24" customFormat="false" ht="16.4" hidden="false" customHeight="false" outlineLevel="0" collapsed="false">
      <c r="A24" s="1" t="s">
        <v>44</v>
      </c>
      <c r="B24" s="2" t="s">
        <v>46</v>
      </c>
      <c r="C24" s="3" t="e">
        <f aca="false">VLOOKUP(B24,'RISCHIO PESO 3.0'!B:B,1,FALSE())</f>
        <v>#N/A</v>
      </c>
      <c r="D24" s="2" t="e">
        <f aca="false">VLOOKUP(B24,'RISCHIO T2D 3.0'!B:B,1,FALSE())</f>
        <v>#N/A</v>
      </c>
      <c r="E24" s="2" t="e">
        <f aca="false">VLOOKUP(B24,'RISCHIO CARDIO 3.0'!B:B,1,FALSE())</f>
        <v>#N/A</v>
      </c>
      <c r="F24" s="2" t="e">
        <f aca="false">VLOOKUP(B24,'RISCHIO VITA 3.0'!C:C,1,FALSE())</f>
        <v>#N/A</v>
      </c>
      <c r="G24" s="2" t="e">
        <f aca="false">VLOOKUP(B24,'RISCHIO SPORT'!B:B,1,FALSE())</f>
        <v>#N/A</v>
      </c>
      <c r="H24" s="2" t="str">
        <f aca="false">VLOOKUP(B24,'RISCHIO AGING '!B:B,1,FALSE())</f>
        <v>rs1143633</v>
      </c>
      <c r="I24" s="2" t="e">
        <f aca="false">VLOOKUP(B24,'RISCHIO MAMMA'!B:B,1,FALSE())</f>
        <v>#N/A</v>
      </c>
      <c r="J24" s="2" t="e">
        <f aca="false">VLOOKUP(B24,'RIS PLUS3.0'!B:B,1,FALSE())</f>
        <v>#N/A</v>
      </c>
      <c r="R24" s="2" t="s">
        <v>46</v>
      </c>
    </row>
    <row r="25" customFormat="false" ht="16.4" hidden="false" customHeight="false" outlineLevel="0" collapsed="false">
      <c r="A25" s="1" t="s">
        <v>44</v>
      </c>
      <c r="B25" s="2" t="s">
        <v>47</v>
      </c>
      <c r="C25" s="3" t="e">
        <f aca="false">VLOOKUP(B25,'RISCHIO PESO 3.0'!B:B,1,FALSE())</f>
        <v>#N/A</v>
      </c>
      <c r="D25" s="2" t="e">
        <f aca="false">VLOOKUP(B25,'RISCHIO T2D 3.0'!B:B,1,FALSE())</f>
        <v>#N/A</v>
      </c>
      <c r="E25" s="2" t="e">
        <f aca="false">VLOOKUP(B25,'RISCHIO CARDIO 3.0'!B:B,1,FALSE())</f>
        <v>#N/A</v>
      </c>
      <c r="F25" s="2" t="e">
        <f aca="false">VLOOKUP(B25,'RISCHIO VITA 3.0'!C:C,1,FALSE())</f>
        <v>#N/A</v>
      </c>
      <c r="G25" s="2" t="e">
        <f aca="false">VLOOKUP(B25,'RISCHIO SPORT'!B:B,1,FALSE())</f>
        <v>#N/A</v>
      </c>
      <c r="H25" s="2" t="str">
        <f aca="false">VLOOKUP(B25,'RISCHIO AGING '!B:B,1,FALSE())</f>
        <v>rs16944</v>
      </c>
      <c r="I25" s="2" t="e">
        <f aca="false">VLOOKUP(B25,'RISCHIO MAMMA'!B:B,1,FALSE())</f>
        <v>#N/A</v>
      </c>
      <c r="J25" s="2" t="e">
        <f aca="false">VLOOKUP(B25,'RIS PLUS3.0'!B:B,1,FALSE())</f>
        <v>#N/A</v>
      </c>
      <c r="R25" s="2" t="s">
        <v>47</v>
      </c>
    </row>
    <row r="26" customFormat="false" ht="16.4" hidden="false" customHeight="false" outlineLevel="0" collapsed="false">
      <c r="A26" s="1" t="s">
        <v>48</v>
      </c>
      <c r="B26" s="2" t="s">
        <v>49</v>
      </c>
      <c r="C26" s="3" t="e">
        <f aca="false">VLOOKUP(B26,'RISCHIO PESO 3.0'!B:B,1,FALSE())</f>
        <v>#N/A</v>
      </c>
      <c r="D26" s="2" t="e">
        <f aca="false">VLOOKUP(B26,'RISCHIO T2D 3.0'!B:B,1,FALSE())</f>
        <v>#N/A</v>
      </c>
      <c r="E26" s="2" t="e">
        <f aca="false">VLOOKUP(B26,'RISCHIO CARDIO 3.0'!B:B,1,FALSE())</f>
        <v>#N/A</v>
      </c>
      <c r="F26" s="2" t="e">
        <f aca="false">VLOOKUP(B26,'RISCHIO VITA 3.0'!C:C,1,FALSE())</f>
        <v>#N/A</v>
      </c>
      <c r="G26" s="2" t="e">
        <f aca="false">VLOOKUP(B26,'RISCHIO SPORT'!B:B,1,FALSE())</f>
        <v>#N/A</v>
      </c>
      <c r="H26" s="2" t="e">
        <f aca="false">VLOOKUP(B26,'RISCHIO AGING '!B:B,1,FALSE())</f>
        <v>#N/A</v>
      </c>
      <c r="I26" s="2" t="e">
        <f aca="false">VLOOKUP(B26,'RISCHIO MAMMA'!B:B,1,FALSE())</f>
        <v>#N/A</v>
      </c>
      <c r="J26" s="2" t="e">
        <f aca="false">VLOOKUP(B26,'RIS PLUS3.0'!B:B,1,FALSE())</f>
        <v>#N/A</v>
      </c>
      <c r="L26" s="2" t="s">
        <v>49</v>
      </c>
    </row>
    <row r="27" s="11" customFormat="true" ht="15" hidden="false" customHeight="false" outlineLevel="0" collapsed="false">
      <c r="A27" s="10" t="s">
        <v>48</v>
      </c>
      <c r="B27" s="11" t="s">
        <v>50</v>
      </c>
      <c r="C27" s="12" t="e">
        <f aca="false">VLOOKUP(B27,'RISCHIO PESO 3.0'!B:B,1,FALSE())</f>
        <v>#N/A</v>
      </c>
      <c r="D27" s="11" t="e">
        <f aca="false">VLOOKUP(B27,'RISCHIO T2D 3.0'!B:B,1,FALSE())</f>
        <v>#N/A</v>
      </c>
      <c r="E27" s="11" t="e">
        <f aca="false">VLOOKUP(B27,'RISCHIO CARDIO 3.0'!B:B,1,FALSE())</f>
        <v>#N/A</v>
      </c>
      <c r="F27" s="11" t="e">
        <f aca="false">VLOOKUP(B27,'RISCHIO VITA 3.0'!C:C,1,FALSE())</f>
        <v>#N/A</v>
      </c>
      <c r="G27" s="11" t="e">
        <f aca="false">VLOOKUP(B27,'RISCHIO SPORT'!B:B,1,FALSE())</f>
        <v>#N/A</v>
      </c>
      <c r="H27" s="11" t="e">
        <f aca="false">VLOOKUP(B27,'RISCHIO AGING '!B:B,1,FALSE())</f>
        <v>#N/A</v>
      </c>
      <c r="I27" s="11" t="e">
        <f aca="false">VLOOKUP(B27,'RISCHIO MAMMA'!B:B,1,FALSE())</f>
        <v>#N/A</v>
      </c>
      <c r="J27" s="2" t="e">
        <f aca="false">VLOOKUP(B27,'RIS PLUS3.0'!B:B,1,FALSE())</f>
        <v>#N/A</v>
      </c>
      <c r="L27" s="13"/>
      <c r="M27" s="13"/>
      <c r="N27" s="13"/>
      <c r="O27" s="13"/>
      <c r="P27" s="13"/>
      <c r="Q27" s="13"/>
      <c r="R27" s="13"/>
      <c r="S27" s="13"/>
    </row>
    <row r="28" customFormat="false" ht="16.4" hidden="false" customHeight="false" outlineLevel="0" collapsed="false">
      <c r="A28" s="1" t="s">
        <v>51</v>
      </c>
      <c r="B28" s="2" t="s">
        <v>52</v>
      </c>
      <c r="C28" s="3" t="str">
        <f aca="false">VLOOKUP(B28,'RISCHIO PESO 3.0'!B:B,1,FALSE())</f>
        <v>rs1801282</v>
      </c>
      <c r="D28" s="2" t="str">
        <f aca="false">VLOOKUP(B28,'RISCHIO T2D 3.0'!B:B,1,FALSE())</f>
        <v>rs1801282</v>
      </c>
      <c r="E28" s="2" t="e">
        <f aca="false">VLOOKUP(B28,'RISCHIO CARDIO 3.0'!B:B,1,FALSE())</f>
        <v>#N/A</v>
      </c>
      <c r="F28" s="2" t="e">
        <f aca="false">VLOOKUP(B28,'RISCHIO VITA 3.0'!C:C,1,FALSE())</f>
        <v>#N/A</v>
      </c>
      <c r="G28" s="2" t="e">
        <f aca="false">VLOOKUP(B28,'RISCHIO SPORT'!B:B,1,FALSE())</f>
        <v>#N/A</v>
      </c>
      <c r="H28" s="2" t="e">
        <f aca="false">VLOOKUP(B28,'RISCHIO AGING '!B:B,1,FALSE())</f>
        <v>#N/A</v>
      </c>
      <c r="I28" s="2" t="e">
        <f aca="false">VLOOKUP(B28,'RISCHIO MAMMA'!B:B,1,FALSE())</f>
        <v>#N/A</v>
      </c>
      <c r="J28" s="2" t="e">
        <f aca="false">VLOOKUP(B28,'RIS PLUS3.0'!B:B,1,FALSE())</f>
        <v>#N/A</v>
      </c>
      <c r="M28" s="2" t="s">
        <v>52</v>
      </c>
      <c r="N28" s="2" t="s">
        <v>52</v>
      </c>
      <c r="O28" s="2" t="s">
        <v>52</v>
      </c>
    </row>
    <row r="29" customFormat="false" ht="16.4" hidden="false" customHeight="false" outlineLevel="0" collapsed="false">
      <c r="A29" s="1" t="s">
        <v>53</v>
      </c>
      <c r="B29" s="2" t="s">
        <v>54</v>
      </c>
      <c r="C29" s="3" t="e">
        <f aca="false">VLOOKUP(B29,'RISCHIO PESO 3.0'!B:B,1,FALSE())</f>
        <v>#N/A</v>
      </c>
      <c r="D29" s="2" t="e">
        <f aca="false">VLOOKUP(B29,'RISCHIO T2D 3.0'!B:B,1,FALSE())</f>
        <v>#N/A</v>
      </c>
      <c r="E29" s="2" t="e">
        <f aca="false">VLOOKUP(B29,'RISCHIO CARDIO 3.0'!B:B,1,FALSE())</f>
        <v>#N/A</v>
      </c>
      <c r="F29" s="2" t="e">
        <f aca="false">VLOOKUP(B29,'RISCHIO VITA 3.0'!C:C,1,FALSE())</f>
        <v>#N/A</v>
      </c>
      <c r="G29" s="2" t="e">
        <f aca="false">VLOOKUP(B29,'RISCHIO SPORT'!B:B,1,FALSE())</f>
        <v>#N/A</v>
      </c>
      <c r="H29" s="2" t="str">
        <f aca="false">VLOOKUP(B29,'RISCHIO AGING '!B:B,1,FALSE())</f>
        <v>rs1050450</v>
      </c>
      <c r="I29" s="2" t="e">
        <f aca="false">VLOOKUP(B29,'RISCHIO MAMMA'!B:B,1,FALSE())</f>
        <v>#N/A</v>
      </c>
      <c r="J29" s="2" t="e">
        <f aca="false">VLOOKUP(B29,'RIS PLUS3.0'!B:B,1,FALSE())</f>
        <v>#N/A</v>
      </c>
      <c r="R29" s="2" t="s">
        <v>54</v>
      </c>
    </row>
    <row r="30" s="7" customFormat="true" ht="15" hidden="false" customHeight="false" outlineLevel="0" collapsed="false">
      <c r="A30" s="6" t="s">
        <v>55</v>
      </c>
      <c r="B30" s="7" t="s">
        <v>56</v>
      </c>
      <c r="C30" s="8" t="e">
        <f aca="false">VLOOKUP(B30,'RISCHIO PESO 3.0'!B:B,1,FALSE())</f>
        <v>#N/A</v>
      </c>
      <c r="D30" s="7" t="str">
        <f aca="false">VLOOKUP(B30,'RISCHIO T2D 3.0'!B:B,1,FALSE())</f>
        <v>rs5400</v>
      </c>
      <c r="E30" s="7" t="e">
        <f aca="false">VLOOKUP(B30,'RISCHIO CARDIO 3.0'!B:B,1,FALSE())</f>
        <v>#N/A</v>
      </c>
      <c r="F30" s="7" t="e">
        <f aca="false">VLOOKUP(B30,'RISCHIO VITA 3.0'!C:C,1,FALSE())</f>
        <v>#N/A</v>
      </c>
      <c r="G30" s="7" t="e">
        <f aca="false">VLOOKUP(B30,'RISCHIO SPORT'!B:B,1,FALSE())</f>
        <v>#N/A</v>
      </c>
      <c r="H30" s="7" t="e">
        <f aca="false">VLOOKUP(B30,'RISCHIO AGING '!B:B,1,FALSE())</f>
        <v>#N/A</v>
      </c>
      <c r="I30" s="7" t="e">
        <f aca="false">VLOOKUP(B30,'RISCHIO MAMMA'!B:B,1,FALSE())</f>
        <v>#N/A</v>
      </c>
      <c r="J30" s="7" t="e">
        <f aca="false">VLOOKUP(B30,'RIS PLUS3.0'!B:B,1,FALSE())</f>
        <v>#N/A</v>
      </c>
      <c r="L30" s="9"/>
      <c r="M30" s="9"/>
      <c r="N30" s="9"/>
      <c r="O30" s="9"/>
      <c r="P30" s="9"/>
      <c r="Q30" s="9"/>
      <c r="R30" s="9"/>
      <c r="S30" s="9"/>
    </row>
    <row r="31" customFormat="false" ht="16.4" hidden="false" customHeight="false" outlineLevel="0" collapsed="false">
      <c r="A31" s="1" t="s">
        <v>57</v>
      </c>
      <c r="B31" s="2" t="s">
        <v>58</v>
      </c>
      <c r="C31" s="3" t="str">
        <f aca="false">VLOOKUP(B31,'RISCHIO PESO 3.0'!B:B,1,FALSE())</f>
        <v>rs17300539</v>
      </c>
      <c r="D31" s="2" t="str">
        <f aca="false">VLOOKUP(B31,'RISCHIO T2D 3.0'!B:B,1,FALSE())</f>
        <v>rs17300539</v>
      </c>
      <c r="E31" s="2" t="e">
        <f aca="false">VLOOKUP(B31,'RISCHIO CARDIO 3.0'!B:B,1,FALSE())</f>
        <v>#N/A</v>
      </c>
      <c r="F31" s="2" t="e">
        <f aca="false">VLOOKUP(B31,'RISCHIO VITA 3.0'!C:C,1,FALSE())</f>
        <v>#N/A</v>
      </c>
      <c r="G31" s="2" t="e">
        <f aca="false">VLOOKUP(B31,'RISCHIO SPORT'!B:B,1,FALSE())</f>
        <v>#N/A</v>
      </c>
      <c r="H31" s="2" t="e">
        <f aca="false">VLOOKUP(B31,'RISCHIO AGING '!B:B,1,FALSE())</f>
        <v>#N/A</v>
      </c>
      <c r="I31" s="2" t="e">
        <f aca="false">VLOOKUP(B31,'RISCHIO MAMMA'!B:B,1,FALSE())</f>
        <v>#N/A</v>
      </c>
      <c r="J31" s="2" t="e">
        <f aca="false">VLOOKUP(B31,'RIS PLUS3.0'!B:B,1,FALSE())</f>
        <v>#N/A</v>
      </c>
      <c r="M31" s="2" t="s">
        <v>58</v>
      </c>
      <c r="N31" s="2" t="s">
        <v>58</v>
      </c>
      <c r="O31" s="2" t="s">
        <v>58</v>
      </c>
    </row>
    <row r="32" customFormat="false" ht="16.4" hidden="false" customHeight="false" outlineLevel="0" collapsed="false">
      <c r="A32" s="1" t="s">
        <v>59</v>
      </c>
      <c r="B32" s="2" t="s">
        <v>60</v>
      </c>
      <c r="C32" s="3" t="e">
        <f aca="false">VLOOKUP(B32,'RISCHIO PESO 3.0'!B:B,1,FALSE())</f>
        <v>#N/A</v>
      </c>
      <c r="D32" s="2" t="e">
        <f aca="false">VLOOKUP(B32,'RISCHIO T2D 3.0'!B:B,1,FALSE())</f>
        <v>#N/A</v>
      </c>
      <c r="E32" s="2" t="e">
        <f aca="false">VLOOKUP(B32,'RISCHIO CARDIO 3.0'!B:B,1,FALSE())</f>
        <v>#N/A</v>
      </c>
      <c r="F32" s="2" t="e">
        <f aca="false">VLOOKUP(B32,'RISCHIO VITA 3.0'!C:C,1,FALSE())</f>
        <v>#N/A</v>
      </c>
      <c r="G32" s="2" t="e">
        <f aca="false">VLOOKUP(B32,'RISCHIO SPORT'!B:B,1,FALSE())</f>
        <v>#N/A</v>
      </c>
      <c r="H32" s="2" t="e">
        <f aca="false">VLOOKUP(B32,'RISCHIO AGING '!B:B,1,FALSE())</f>
        <v>#N/A</v>
      </c>
      <c r="I32" s="2" t="e">
        <f aca="false">VLOOKUP(B32,'RISCHIO MAMMA'!B:B,1,FALSE())</f>
        <v>#N/A</v>
      </c>
      <c r="J32" s="2" t="e">
        <f aca="false">VLOOKUP(B32,'RIS PLUS3.0'!B:B,1,FALSE())</f>
        <v>#N/A</v>
      </c>
      <c r="S32" s="2" t="s">
        <v>60</v>
      </c>
    </row>
    <row r="33" customFormat="false" ht="16.4" hidden="false" customHeight="false" outlineLevel="0" collapsed="false">
      <c r="A33" s="1" t="s">
        <v>61</v>
      </c>
      <c r="B33" s="2" t="s">
        <v>62</v>
      </c>
      <c r="C33" s="3" t="e">
        <f aca="false">VLOOKUP(B33,'RISCHIO PESO 3.0'!B:B,1,FALSE())</f>
        <v>#N/A</v>
      </c>
      <c r="D33" s="2" t="e">
        <f aca="false">VLOOKUP(B33,'RISCHIO T2D 3.0'!B:B,1,FALSE())</f>
        <v>#N/A</v>
      </c>
      <c r="E33" s="2" t="e">
        <f aca="false">VLOOKUP(B33,'RISCHIO CARDIO 3.0'!B:B,1,FALSE())</f>
        <v>#N/A</v>
      </c>
      <c r="F33" s="2" t="e">
        <f aca="false">VLOOKUP(B33,'RISCHIO VITA 3.0'!C:C,1,FALSE())</f>
        <v>#N/A</v>
      </c>
      <c r="G33" s="2" t="e">
        <f aca="false">VLOOKUP(B33,'RISCHIO SPORT'!B:B,1,FALSE())</f>
        <v>#N/A</v>
      </c>
      <c r="H33" s="2" t="str">
        <f aca="false">VLOOKUP(B33,'RISCHIO AGING '!B:B,1,FALSE())</f>
        <v>rs13306703</v>
      </c>
      <c r="I33" s="2" t="e">
        <f aca="false">VLOOKUP(B33,'RISCHIO MAMMA'!B:B,1,FALSE())</f>
        <v>#N/A</v>
      </c>
      <c r="J33" s="2" t="e">
        <f aca="false">VLOOKUP(B33,'RIS PLUS3.0'!B:B,1,FALSE())</f>
        <v>#N/A</v>
      </c>
      <c r="R33" s="2" t="s">
        <v>62</v>
      </c>
    </row>
    <row r="34" customFormat="false" ht="16.4" hidden="false" customHeight="false" outlineLevel="0" collapsed="false">
      <c r="A34" s="1" t="s">
        <v>61</v>
      </c>
      <c r="B34" s="2" t="s">
        <v>63</v>
      </c>
      <c r="C34" s="3" t="e">
        <f aca="false">VLOOKUP(B34,'RISCHIO PESO 3.0'!B:B,1,FALSE())</f>
        <v>#N/A</v>
      </c>
      <c r="D34" s="2" t="e">
        <f aca="false">VLOOKUP(B34,'RISCHIO T2D 3.0'!B:B,1,FALSE())</f>
        <v>#N/A</v>
      </c>
      <c r="E34" s="2" t="e">
        <f aca="false">VLOOKUP(B34,'RISCHIO CARDIO 3.0'!B:B,1,FALSE())</f>
        <v>#N/A</v>
      </c>
      <c r="F34" s="2" t="e">
        <f aca="false">VLOOKUP(B34,'RISCHIO VITA 3.0'!C:C,1,FALSE())</f>
        <v>#N/A</v>
      </c>
      <c r="G34" s="2" t="e">
        <f aca="false">VLOOKUP(B34,'RISCHIO SPORT'!B:B,1,FALSE())</f>
        <v>#N/A</v>
      </c>
      <c r="H34" s="2" t="str">
        <f aca="false">VLOOKUP(B34,'RISCHIO AGING '!B:B,1,FALSE())</f>
        <v>rs699473</v>
      </c>
      <c r="I34" s="2" t="e">
        <f aca="false">VLOOKUP(B34,'RISCHIO MAMMA'!B:B,1,FALSE())</f>
        <v>#N/A</v>
      </c>
      <c r="J34" s="2" t="e">
        <f aca="false">VLOOKUP(B34,'RIS PLUS3.0'!B:B,1,FALSE())</f>
        <v>#N/A</v>
      </c>
      <c r="R34" s="2" t="s">
        <v>63</v>
      </c>
    </row>
    <row r="35" customFormat="false" ht="16.4" hidden="false" customHeight="false" outlineLevel="0" collapsed="false">
      <c r="A35" s="1" t="s">
        <v>61</v>
      </c>
      <c r="B35" s="2" t="s">
        <v>64</v>
      </c>
      <c r="C35" s="3" t="e">
        <f aca="false">VLOOKUP(B35,'RISCHIO PESO 3.0'!B:B,1,FALSE())</f>
        <v>#N/A</v>
      </c>
      <c r="D35" s="2" t="e">
        <f aca="false">VLOOKUP(B35,'RISCHIO T2D 3.0'!B:B,1,FALSE())</f>
        <v>#N/A</v>
      </c>
      <c r="E35" s="2" t="e">
        <f aca="false">VLOOKUP(B35,'RISCHIO CARDIO 3.0'!B:B,1,FALSE())</f>
        <v>#N/A</v>
      </c>
      <c r="F35" s="2" t="e">
        <f aca="false">VLOOKUP(B35,'RISCHIO VITA 3.0'!C:C,1,FALSE())</f>
        <v>#N/A</v>
      </c>
      <c r="G35" s="2" t="e">
        <f aca="false">VLOOKUP(B35,'RISCHIO SPORT'!B:B,1,FALSE())</f>
        <v>#N/A</v>
      </c>
      <c r="H35" s="2" t="str">
        <f aca="false">VLOOKUP(B35,'RISCHIO AGING '!B:B,1,FALSE())</f>
        <v>rs2536512</v>
      </c>
      <c r="I35" s="2" t="e">
        <f aca="false">VLOOKUP(B35,'RISCHIO MAMMA'!B:B,1,FALSE())</f>
        <v>#N/A</v>
      </c>
      <c r="J35" s="2" t="e">
        <f aca="false">VLOOKUP(B35,'RIS PLUS3.0'!B:B,1,FALSE())</f>
        <v>#N/A</v>
      </c>
      <c r="R35" s="2" t="s">
        <v>64</v>
      </c>
    </row>
    <row r="36" customFormat="false" ht="16.4" hidden="false" customHeight="false" outlineLevel="0" collapsed="false">
      <c r="A36" s="1" t="s">
        <v>61</v>
      </c>
      <c r="B36" s="2" t="s">
        <v>65</v>
      </c>
      <c r="C36" s="3" t="e">
        <f aca="false">VLOOKUP(B36,'RISCHIO PESO 3.0'!B:B,1,FALSE())</f>
        <v>#N/A</v>
      </c>
      <c r="D36" s="2" t="e">
        <f aca="false">VLOOKUP(B36,'RISCHIO T2D 3.0'!B:B,1,FALSE())</f>
        <v>#N/A</v>
      </c>
      <c r="E36" s="2" t="e">
        <f aca="false">VLOOKUP(B36,'RISCHIO CARDIO 3.0'!B:B,1,FALSE())</f>
        <v>#N/A</v>
      </c>
      <c r="F36" s="2" t="e">
        <f aca="false">VLOOKUP(B36,'RISCHIO VITA 3.0'!C:C,1,FALSE())</f>
        <v>#N/A</v>
      </c>
      <c r="G36" s="2" t="e">
        <f aca="false">VLOOKUP(B36,'RISCHIO SPORT'!B:B,1,FALSE())</f>
        <v>#N/A</v>
      </c>
      <c r="H36" s="2" t="str">
        <f aca="false">VLOOKUP(B36,'RISCHIO AGING '!B:B,1,FALSE())</f>
        <v>rs1799895</v>
      </c>
      <c r="I36" s="2" t="e">
        <f aca="false">VLOOKUP(B36,'RISCHIO MAMMA'!B:B,1,FALSE())</f>
        <v>#N/A</v>
      </c>
      <c r="J36" s="2" t="e">
        <f aca="false">VLOOKUP(B36,'RIS PLUS3.0'!B:B,1,FALSE())</f>
        <v>#N/A</v>
      </c>
      <c r="R36" s="2" t="s">
        <v>65</v>
      </c>
    </row>
    <row r="37" customFormat="false" ht="16.4" hidden="false" customHeight="false" outlineLevel="0" collapsed="false">
      <c r="A37" s="1" t="s">
        <v>66</v>
      </c>
      <c r="B37" s="2" t="s">
        <v>67</v>
      </c>
      <c r="C37" s="3" t="str">
        <f aca="false">VLOOKUP(B37,'RISCHIO PESO 3.0'!B:B,1,FALSE())</f>
        <v>rs10938397</v>
      </c>
      <c r="D37" s="2" t="e">
        <f aca="false">VLOOKUP(B37,'RISCHIO T2D 3.0'!B:B,1,FALSE())</f>
        <v>#N/A</v>
      </c>
      <c r="E37" s="2" t="e">
        <f aca="false">VLOOKUP(B37,'RISCHIO CARDIO 3.0'!B:B,1,FALSE())</f>
        <v>#N/A</v>
      </c>
      <c r="F37" s="2" t="e">
        <f aca="false">VLOOKUP(B37,'RISCHIO VITA 3.0'!C:C,1,FALSE())</f>
        <v>#N/A</v>
      </c>
      <c r="G37" s="2" t="e">
        <f aca="false">VLOOKUP(B37,'RISCHIO SPORT'!B:B,1,FALSE())</f>
        <v>#N/A</v>
      </c>
      <c r="H37" s="2" t="e">
        <f aca="false">VLOOKUP(B37,'RISCHIO AGING '!B:B,1,FALSE())</f>
        <v>#N/A</v>
      </c>
      <c r="I37" s="2" t="e">
        <f aca="false">VLOOKUP(B37,'RISCHIO MAMMA'!B:B,1,FALSE())</f>
        <v>#N/A</v>
      </c>
      <c r="J37" s="2" t="e">
        <f aca="false">VLOOKUP(B37,'RIS PLUS3.0'!B:B,1,FALSE())</f>
        <v>#N/A</v>
      </c>
      <c r="M37" s="2" t="s">
        <v>67</v>
      </c>
    </row>
    <row r="38" s="7" customFormat="true" ht="15" hidden="false" customHeight="false" outlineLevel="0" collapsed="false">
      <c r="A38" s="6" t="s">
        <v>68</v>
      </c>
      <c r="B38" s="7" t="s">
        <v>69</v>
      </c>
      <c r="C38" s="8" t="e">
        <f aca="false">VLOOKUP(B38,'RISCHIO PESO 3.0'!B:B,1,FALSE())</f>
        <v>#N/A</v>
      </c>
      <c r="D38" s="7" t="e">
        <f aca="false">VLOOKUP(B38,'RISCHIO T2D 3.0'!B:B,1,FALSE())</f>
        <v>#N/A</v>
      </c>
      <c r="E38" s="7" t="e">
        <f aca="false">VLOOKUP(B38,'RISCHIO CARDIO 3.0'!B:B,1,FALSE())</f>
        <v>#N/A</v>
      </c>
      <c r="F38" s="7" t="e">
        <f aca="false">VLOOKUP(B38,'RISCHIO VITA 3.0'!C:C,1,FALSE())</f>
        <v>#N/A</v>
      </c>
      <c r="G38" s="7" t="e">
        <f aca="false">VLOOKUP(B38,'RISCHIO SPORT'!B:B,1,FALSE())</f>
        <v>#N/A</v>
      </c>
      <c r="H38" s="7" t="e">
        <f aca="false">VLOOKUP(B38,'RISCHIO AGING '!B:B,1,FALSE())</f>
        <v>#N/A</v>
      </c>
      <c r="I38" s="7" t="e">
        <f aca="false">VLOOKUP(B38,'RISCHIO MAMMA'!B:B,1,FALSE())</f>
        <v>#N/A</v>
      </c>
      <c r="J38" s="7" t="e">
        <f aca="false">VLOOKUP(B38,'RIS PLUS3.0'!B:B,1,FALSE())</f>
        <v>#N/A</v>
      </c>
      <c r="L38" s="9"/>
      <c r="M38" s="9"/>
      <c r="N38" s="9"/>
      <c r="O38" s="9"/>
      <c r="P38" s="9"/>
      <c r="Q38" s="9"/>
      <c r="R38" s="9"/>
      <c r="S38" s="9"/>
    </row>
    <row r="39" s="7" customFormat="true" ht="15" hidden="false" customHeight="false" outlineLevel="0" collapsed="false">
      <c r="A39" s="6" t="s">
        <v>68</v>
      </c>
      <c r="B39" s="7" t="s">
        <v>70</v>
      </c>
      <c r="C39" s="8" t="e">
        <f aca="false">VLOOKUP(B39,'RISCHIO PESO 3.0'!B:B,1,FALSE())</f>
        <v>#N/A</v>
      </c>
      <c r="D39" s="7" t="e">
        <f aca="false">VLOOKUP(B39,'RISCHIO T2D 3.0'!B:B,1,FALSE())</f>
        <v>#N/A</v>
      </c>
      <c r="E39" s="7" t="e">
        <f aca="false">VLOOKUP(B39,'RISCHIO CARDIO 3.0'!B:B,1,FALSE())</f>
        <v>#N/A</v>
      </c>
      <c r="F39" s="7" t="e">
        <f aca="false">VLOOKUP(B39,'RISCHIO VITA 3.0'!C:C,1,FALSE())</f>
        <v>#N/A</v>
      </c>
      <c r="G39" s="7" t="e">
        <f aca="false">VLOOKUP(B39,'RISCHIO SPORT'!B:B,1,FALSE())</f>
        <v>#N/A</v>
      </c>
      <c r="H39" s="7" t="e">
        <f aca="false">VLOOKUP(B39,'RISCHIO AGING '!B:B,1,FALSE())</f>
        <v>#N/A</v>
      </c>
      <c r="I39" s="7" t="e">
        <f aca="false">VLOOKUP(B39,'RISCHIO MAMMA'!B:B,1,FALSE())</f>
        <v>#N/A</v>
      </c>
      <c r="J39" s="7" t="e">
        <f aca="false">VLOOKUP(B39,'RIS PLUS3.0'!B:B,1,FALSE())</f>
        <v>#N/A</v>
      </c>
      <c r="L39" s="9"/>
      <c r="M39" s="9"/>
      <c r="N39" s="9"/>
      <c r="O39" s="9"/>
      <c r="P39" s="9"/>
      <c r="Q39" s="9"/>
      <c r="R39" s="9"/>
      <c r="S39" s="9"/>
    </row>
    <row r="40" s="15" customFormat="true" ht="15" hidden="false" customHeight="false" outlineLevel="0" collapsed="false">
      <c r="A40" s="14" t="s">
        <v>71</v>
      </c>
      <c r="B40" s="15" t="s">
        <v>72</v>
      </c>
      <c r="C40" s="16" t="e">
        <f aca="false">VLOOKUP(B40,'RISCHIO PESO 3.0'!B:B,1,FALSE())</f>
        <v>#N/A</v>
      </c>
      <c r="D40" s="15" t="e">
        <f aca="false">VLOOKUP(B40,'RISCHIO T2D 3.0'!B:B,1,FALSE())</f>
        <v>#N/A</v>
      </c>
      <c r="E40" s="15" t="e">
        <f aca="false">VLOOKUP(B40,'RISCHIO CARDIO 3.0'!B:B,1,FALSE())</f>
        <v>#N/A</v>
      </c>
      <c r="F40" s="15" t="e">
        <f aca="false">VLOOKUP(B40,'RISCHIO VITA 3.0'!C:C,1,FALSE())</f>
        <v>#N/A</v>
      </c>
      <c r="G40" s="15" t="e">
        <f aca="false">VLOOKUP(B40,'RISCHIO SPORT'!B:B,1,FALSE())</f>
        <v>#N/A</v>
      </c>
      <c r="H40" s="15" t="e">
        <f aca="false">VLOOKUP(B40,'RISCHIO AGING '!B:B,1,FALSE())</f>
        <v>#N/A</v>
      </c>
      <c r="I40" s="15" t="e">
        <f aca="false">VLOOKUP(B40,'RISCHIO MAMMA'!B:B,1,FALSE())</f>
        <v>#N/A</v>
      </c>
      <c r="J40" s="15" t="e">
        <f aca="false">VLOOKUP(B40,'RIS PLUS3.0'!B:B,1,FALSE())</f>
        <v>#N/A</v>
      </c>
    </row>
    <row r="41" s="7" customFormat="true" ht="15" hidden="false" customHeight="false" outlineLevel="0" collapsed="false">
      <c r="A41" s="6" t="s">
        <v>71</v>
      </c>
      <c r="B41" s="7" t="s">
        <v>73</v>
      </c>
      <c r="C41" s="8" t="e">
        <f aca="false">VLOOKUP(B41,'RISCHIO PESO 3.0'!B:B,1,FALSE())</f>
        <v>#N/A</v>
      </c>
      <c r="D41" s="7" t="e">
        <f aca="false">VLOOKUP(B41,'RISCHIO T2D 3.0'!B:B,1,FALSE())</f>
        <v>#N/A</v>
      </c>
      <c r="E41" s="7" t="e">
        <f aca="false">VLOOKUP(B41,'RISCHIO CARDIO 3.0'!B:B,1,FALSE())</f>
        <v>#N/A</v>
      </c>
      <c r="F41" s="7" t="e">
        <f aca="false">VLOOKUP(B41,'RISCHIO VITA 3.0'!C:C,1,FALSE())</f>
        <v>#N/A</v>
      </c>
      <c r="G41" s="7" t="e">
        <f aca="false">VLOOKUP(B41,'RISCHIO SPORT'!B:B,1,FALSE())</f>
        <v>#N/A</v>
      </c>
      <c r="H41" s="7" t="e">
        <f aca="false">VLOOKUP(B41,'RISCHIO AGING '!B:B,1,FALSE())</f>
        <v>#N/A</v>
      </c>
      <c r="I41" s="7" t="e">
        <f aca="false">VLOOKUP(B41,'RISCHIO MAMMA'!B:B,1,FALSE())</f>
        <v>#N/A</v>
      </c>
      <c r="J41" s="7" t="e">
        <f aca="false">VLOOKUP(B41,'RIS PLUS3.0'!B:B,1,FALSE())</f>
        <v>#N/A</v>
      </c>
      <c r="L41" s="9"/>
      <c r="M41" s="9"/>
      <c r="N41" s="9"/>
      <c r="O41" s="9"/>
      <c r="P41" s="9"/>
      <c r="Q41" s="9"/>
      <c r="R41" s="9"/>
      <c r="S41" s="9"/>
    </row>
    <row r="42" customFormat="false" ht="16.4" hidden="false" customHeight="false" outlineLevel="0" collapsed="false">
      <c r="A42" s="1" t="s">
        <v>71</v>
      </c>
      <c r="B42" s="2" t="s">
        <v>74</v>
      </c>
      <c r="C42" s="3" t="e">
        <f aca="false">VLOOKUP(B42,'RISCHIO PESO 3.0'!B:B,1,FALSE())</f>
        <v>#N/A</v>
      </c>
      <c r="D42" s="2" t="e">
        <f aca="false">VLOOKUP(B42,'RISCHIO T2D 3.0'!B:B,1,FALSE())</f>
        <v>#N/A</v>
      </c>
      <c r="E42" s="2" t="e">
        <f aca="false">VLOOKUP(B42,'RISCHIO CARDIO 3.0'!B:B,1,FALSE())</f>
        <v>#N/A</v>
      </c>
      <c r="F42" s="2" t="str">
        <f aca="false">VLOOKUP(B42,'RISCHIO VITA 3.0'!C:C,1,FALSE())</f>
        <v>rs1155563</v>
      </c>
      <c r="G42" s="2" t="e">
        <f aca="false">VLOOKUP(B42,'RISCHIO SPORT'!B:B,1,FALSE())</f>
        <v>#N/A</v>
      </c>
      <c r="H42" s="2" t="e">
        <f aca="false">VLOOKUP(B42,'RISCHIO AGING '!B:B,1,FALSE())</f>
        <v>#N/A</v>
      </c>
      <c r="I42" s="2" t="e">
        <f aca="false">VLOOKUP(B42,'RISCHIO MAMMA'!B:B,1,FALSE())</f>
        <v>#N/A</v>
      </c>
      <c r="J42" s="2" t="e">
        <f aca="false">VLOOKUP(B42,'RIS PLUS3.0'!B:B,1,FALSE())</f>
        <v>#N/A</v>
      </c>
      <c r="P42" s="2" t="s">
        <v>74</v>
      </c>
    </row>
    <row r="43" customFormat="false" ht="16.4" hidden="false" customHeight="false" outlineLevel="0" collapsed="false">
      <c r="A43" s="1" t="s">
        <v>75</v>
      </c>
      <c r="B43" s="2" t="s">
        <v>76</v>
      </c>
      <c r="C43" s="3" t="str">
        <f aca="false">VLOOKUP(B43,'RISCHIO PESO 3.0'!B:B,1,FALSE())</f>
        <v>rs1799883</v>
      </c>
      <c r="D43" s="2" t="str">
        <f aca="false">VLOOKUP(B43,'RISCHIO T2D 3.0'!B:B,1,FALSE())</f>
        <v>rs1799883</v>
      </c>
      <c r="E43" s="2" t="e">
        <f aca="false">VLOOKUP(B43,'RISCHIO CARDIO 3.0'!B:B,1,FALSE())</f>
        <v>#N/A</v>
      </c>
      <c r="F43" s="2" t="e">
        <f aca="false">VLOOKUP(B43,'RISCHIO VITA 3.0'!C:C,1,FALSE())</f>
        <v>#N/A</v>
      </c>
      <c r="G43" s="2" t="e">
        <f aca="false">VLOOKUP(B43,'RISCHIO SPORT'!B:B,1,FALSE())</f>
        <v>#N/A</v>
      </c>
      <c r="H43" s="2" t="e">
        <f aca="false">VLOOKUP(B43,'RISCHIO AGING '!B:B,1,FALSE())</f>
        <v>#N/A</v>
      </c>
      <c r="I43" s="2" t="e">
        <f aca="false">VLOOKUP(B43,'RISCHIO MAMMA'!B:B,1,FALSE())</f>
        <v>#N/A</v>
      </c>
      <c r="J43" s="2" t="e">
        <f aca="false">VLOOKUP(B43,'RIS PLUS3.0'!B:B,1,FALSE())</f>
        <v>#N/A</v>
      </c>
      <c r="M43" s="2" t="s">
        <v>76</v>
      </c>
      <c r="N43" s="2" t="s">
        <v>76</v>
      </c>
      <c r="O43" s="2" t="s">
        <v>76</v>
      </c>
    </row>
    <row r="44" customFormat="false" ht="16.4" hidden="false" customHeight="false" outlineLevel="0" collapsed="false">
      <c r="A44" s="1" t="s">
        <v>77</v>
      </c>
      <c r="B44" s="2" t="s">
        <v>78</v>
      </c>
      <c r="C44" s="3" t="e">
        <f aca="false">VLOOKUP(B44,'RISCHIO PESO 3.0'!B:B,1,FALSE())</f>
        <v>#N/A</v>
      </c>
      <c r="D44" s="2" t="e">
        <f aca="false">VLOOKUP(B44,'RISCHIO T2D 3.0'!B:B,1,FALSE())</f>
        <v>#N/A</v>
      </c>
      <c r="E44" s="2" t="e">
        <f aca="false">VLOOKUP(B44,'RISCHIO CARDIO 3.0'!B:B,1,FALSE())</f>
        <v>#N/A</v>
      </c>
      <c r="F44" s="2" t="e">
        <f aca="false">VLOOKUP(B44,'RISCHIO VITA 3.0'!C:C,1,FALSE())</f>
        <v>#N/A</v>
      </c>
      <c r="G44" s="2" t="e">
        <f aca="false">VLOOKUP(B44,'RISCHIO SPORT'!B:B,1,FALSE())</f>
        <v>#N/A</v>
      </c>
      <c r="H44" s="2" t="e">
        <f aca="false">VLOOKUP(B44,'RISCHIO AGING '!B:B,1,FALSE())</f>
        <v>#N/A</v>
      </c>
      <c r="I44" s="2" t="e">
        <f aca="false">VLOOKUP(B44,'RISCHIO MAMMA'!B:B,1,FALSE())</f>
        <v>#N/A</v>
      </c>
      <c r="J44" s="2" t="e">
        <f aca="false">VLOOKUP(B44,'RIS PLUS3.0'!B:B,1,FALSE())</f>
        <v>#N/A</v>
      </c>
      <c r="P44" s="2" t="s">
        <v>78</v>
      </c>
    </row>
    <row r="45" customFormat="false" ht="16.4" hidden="false" customHeight="false" outlineLevel="0" collapsed="false">
      <c r="A45" s="1" t="s">
        <v>77</v>
      </c>
      <c r="B45" s="2" t="s">
        <v>79</v>
      </c>
      <c r="C45" s="3" t="e">
        <f aca="false">VLOOKUP(B45,'RISCHIO PESO 3.0'!B:B,1,FALSE())</f>
        <v>#N/A</v>
      </c>
      <c r="D45" s="2" t="e">
        <f aca="false">VLOOKUP(B45,'RISCHIO T2D 3.0'!B:B,1,FALSE())</f>
        <v>#N/A</v>
      </c>
      <c r="E45" s="2" t="e">
        <f aca="false">VLOOKUP(B45,'RISCHIO CARDIO 3.0'!B:B,1,FALSE())</f>
        <v>#N/A</v>
      </c>
      <c r="F45" s="2" t="e">
        <f aca="false">VLOOKUP(B45,'RISCHIO VITA 3.0'!C:C,1,FALSE())</f>
        <v>#N/A</v>
      </c>
      <c r="G45" s="2" t="e">
        <f aca="false">VLOOKUP(B45,'RISCHIO SPORT'!B:B,1,FALSE())</f>
        <v>#N/A</v>
      </c>
      <c r="H45" s="2" t="e">
        <f aca="false">VLOOKUP(B45,'RISCHIO AGING '!B:B,1,FALSE())</f>
        <v>#N/A</v>
      </c>
      <c r="I45" s="2" t="e">
        <f aca="false">VLOOKUP(B45,'RISCHIO MAMMA'!B:B,1,FALSE())</f>
        <v>#N/A</v>
      </c>
      <c r="J45" s="2" t="e">
        <f aca="false">VLOOKUP(B45,'RIS PLUS3.0'!B:B,1,FALSE())</f>
        <v>#N/A</v>
      </c>
      <c r="P45" s="2" t="s">
        <v>79</v>
      </c>
    </row>
    <row r="46" customFormat="false" ht="16.4" hidden="false" customHeight="false" outlineLevel="0" collapsed="false">
      <c r="A46" s="1" t="s">
        <v>80</v>
      </c>
      <c r="B46" s="2" t="s">
        <v>81</v>
      </c>
      <c r="C46" s="3" t="e">
        <f aca="false">VLOOKUP(B46,'RISCHIO PESO 3.0'!B:B,1,FALSE())</f>
        <v>#N/A</v>
      </c>
      <c r="D46" s="2" t="e">
        <f aca="false">VLOOKUP(B46,'RISCHIO T2D 3.0'!B:B,1,FALSE())</f>
        <v>#N/A</v>
      </c>
      <c r="E46" s="2" t="e">
        <f aca="false">VLOOKUP(B46,'RISCHIO CARDIO 3.0'!B:B,1,FALSE())</f>
        <v>#N/A</v>
      </c>
      <c r="F46" s="2" t="e">
        <f aca="false">VLOOKUP(B46,'RISCHIO VITA 3.0'!C:C,1,FALSE())</f>
        <v>#N/A</v>
      </c>
      <c r="G46" s="2" t="str">
        <f aca="false">VLOOKUP(B46,'RISCHIO SPORT'!B:B,1,FALSE())</f>
        <v>rs970547</v>
      </c>
      <c r="H46" s="2" t="e">
        <f aca="false">VLOOKUP(B46,'RISCHIO AGING '!B:B,1,FALSE())</f>
        <v>#N/A</v>
      </c>
      <c r="I46" s="2" t="e">
        <f aca="false">VLOOKUP(B46,'RISCHIO MAMMA'!B:B,1,FALSE())</f>
        <v>#N/A</v>
      </c>
      <c r="J46" s="2" t="e">
        <f aca="false">VLOOKUP(B46,'RIS PLUS3.0'!B:B,1,FALSE())</f>
        <v>#N/A</v>
      </c>
      <c r="Q46" s="2" t="s">
        <v>81</v>
      </c>
    </row>
    <row r="47" customFormat="false" ht="16.4" hidden="false" customHeight="false" outlineLevel="0" collapsed="false">
      <c r="A47" s="1" t="s">
        <v>82</v>
      </c>
      <c r="B47" s="2" t="s">
        <v>83</v>
      </c>
      <c r="C47" s="3" t="e">
        <f aca="false">VLOOKUP(B47,'RISCHIO PESO 3.0'!B:B,1,FALSE())</f>
        <v>#N/A</v>
      </c>
      <c r="D47" s="2" t="e">
        <f aca="false">VLOOKUP(B47,'RISCHIO T2D 3.0'!B:B,1,FALSE())</f>
        <v>#N/A</v>
      </c>
      <c r="E47" s="2" t="e">
        <f aca="false">VLOOKUP(B47,'RISCHIO CARDIO 3.0'!B:B,1,FALSE())</f>
        <v>#N/A</v>
      </c>
      <c r="F47" s="2" t="e">
        <f aca="false">VLOOKUP(B47,'RISCHIO VITA 3.0'!C:C,1,FALSE())</f>
        <v>#N/A</v>
      </c>
      <c r="G47" s="2" t="str">
        <f aca="false">VLOOKUP(B47,'RISCHIO SPORT'!B:B,1,FALSE())</f>
        <v>rs2234693</v>
      </c>
      <c r="H47" s="2" t="e">
        <f aca="false">VLOOKUP(B47,'RISCHIO AGING '!B:B,1,FALSE())</f>
        <v>#N/A</v>
      </c>
      <c r="I47" s="2" t="e">
        <f aca="false">VLOOKUP(B47,'RISCHIO MAMMA'!B:B,1,FALSE())</f>
        <v>#N/A</v>
      </c>
      <c r="J47" s="2" t="e">
        <f aca="false">VLOOKUP(B47,'RIS PLUS3.0'!B:B,1,FALSE())</f>
        <v>#N/A</v>
      </c>
      <c r="Q47" s="2" t="s">
        <v>83</v>
      </c>
    </row>
    <row r="48" customFormat="false" ht="16.4" hidden="false" customHeight="false" outlineLevel="0" collapsed="false">
      <c r="A48" s="1" t="s">
        <v>84</v>
      </c>
      <c r="B48" s="2" t="s">
        <v>85</v>
      </c>
      <c r="C48" s="3" t="e">
        <f aca="false">VLOOKUP(B48,'RISCHIO PESO 3.0'!B:B,1,FALSE())</f>
        <v>#N/A</v>
      </c>
      <c r="D48" s="2" t="e">
        <f aca="false">VLOOKUP(B48,'RISCHIO T2D 3.0'!B:B,1,FALSE())</f>
        <v>#N/A</v>
      </c>
      <c r="E48" s="2" t="e">
        <f aca="false">VLOOKUP(B48,'RISCHIO CARDIO 3.0'!B:B,1,FALSE())</f>
        <v>#N/A</v>
      </c>
      <c r="F48" s="2" t="e">
        <f aca="false">VLOOKUP(B48,'RISCHIO VITA 3.0'!C:C,1,FALSE())</f>
        <v>#N/A</v>
      </c>
      <c r="G48" s="2" t="e">
        <f aca="false">VLOOKUP(B48,'RISCHIO SPORT'!B:B,1,FALSE())</f>
        <v>#N/A</v>
      </c>
      <c r="H48" s="2" t="str">
        <f aca="false">VLOOKUP(B48,'RISCHIO AGING '!B:B,1,FALSE())</f>
        <v>rs1141718</v>
      </c>
      <c r="I48" s="2" t="e">
        <f aca="false">VLOOKUP(B48,'RISCHIO MAMMA'!B:B,1,FALSE())</f>
        <v>#N/A</v>
      </c>
      <c r="J48" s="2" t="e">
        <f aca="false">VLOOKUP(B48,'RIS PLUS3.0'!B:B,1,FALSE())</f>
        <v>#N/A</v>
      </c>
      <c r="R48" s="2" t="s">
        <v>85</v>
      </c>
    </row>
    <row r="49" customFormat="false" ht="16.4" hidden="false" customHeight="false" outlineLevel="0" collapsed="false">
      <c r="A49" s="1" t="s">
        <v>84</v>
      </c>
      <c r="B49" s="2" t="s">
        <v>86</v>
      </c>
      <c r="C49" s="3" t="e">
        <f aca="false">VLOOKUP(B49,'RISCHIO PESO 3.0'!B:B,1,FALSE())</f>
        <v>#N/A</v>
      </c>
      <c r="D49" s="2" t="e">
        <f aca="false">VLOOKUP(B49,'RISCHIO T2D 3.0'!B:B,1,FALSE())</f>
        <v>#N/A</v>
      </c>
      <c r="E49" s="2" t="e">
        <f aca="false">VLOOKUP(B49,'RISCHIO CARDIO 3.0'!B:B,1,FALSE())</f>
        <v>#N/A</v>
      </c>
      <c r="F49" s="2" t="e">
        <f aca="false">VLOOKUP(B49,'RISCHIO VITA 3.0'!C:C,1,FALSE())</f>
        <v>#N/A</v>
      </c>
      <c r="G49" s="2" t="e">
        <f aca="false">VLOOKUP(B49,'RISCHIO SPORT'!B:B,1,FALSE())</f>
        <v>#N/A</v>
      </c>
      <c r="H49" s="2" t="str">
        <f aca="false">VLOOKUP(B49,'RISCHIO AGING '!B:B,1,FALSE())</f>
        <v>rs4880</v>
      </c>
      <c r="I49" s="2" t="e">
        <f aca="false">VLOOKUP(B49,'RISCHIO MAMMA'!B:B,1,FALSE())</f>
        <v>#N/A</v>
      </c>
      <c r="J49" s="2" t="e">
        <f aca="false">VLOOKUP(B49,'RIS PLUS3.0'!B:B,1,FALSE())</f>
        <v>#N/A</v>
      </c>
      <c r="R49" s="2" t="s">
        <v>86</v>
      </c>
    </row>
    <row r="50" customFormat="false" ht="16.4" hidden="false" customHeight="false" outlineLevel="0" collapsed="false">
      <c r="A50" s="1" t="s">
        <v>87</v>
      </c>
      <c r="B50" s="2" t="s">
        <v>88</v>
      </c>
      <c r="C50" s="3" t="e">
        <f aca="false">VLOOKUP(B50,'RISCHIO PESO 3.0'!B:B,1,FALSE())</f>
        <v>#N/A</v>
      </c>
      <c r="D50" s="2" t="e">
        <f aca="false">VLOOKUP(B50,'RISCHIO T2D 3.0'!B:B,1,FALSE())</f>
        <v>#N/A</v>
      </c>
      <c r="E50" s="2" t="e">
        <f aca="false">VLOOKUP(B50,'RISCHIO CARDIO 3.0'!B:B,1,FALSE())</f>
        <v>#N/A</v>
      </c>
      <c r="F50" s="2" t="e">
        <f aca="false">VLOOKUP(B50,'RISCHIO VITA 3.0'!C:C,1,FALSE())</f>
        <v>#N/A</v>
      </c>
      <c r="G50" s="2" t="e">
        <f aca="false">VLOOKUP(B50,'RISCHIO SPORT'!B:B,1,FALSE())</f>
        <v>#N/A</v>
      </c>
      <c r="H50" s="2" t="str">
        <f aca="false">VLOOKUP(B50,'RISCHIO AGING '!B:B,1,FALSE())</f>
        <v>rs1800796</v>
      </c>
      <c r="I50" s="2" t="e">
        <f aca="false">VLOOKUP(B50,'RISCHIO MAMMA'!B:B,1,FALSE())</f>
        <v>#N/A</v>
      </c>
      <c r="J50" s="2" t="e">
        <f aca="false">VLOOKUP(B50,'RIS PLUS3.0'!B:B,1,FALSE())</f>
        <v>#N/A</v>
      </c>
      <c r="R50" s="2" t="s">
        <v>88</v>
      </c>
    </row>
    <row r="51" customFormat="false" ht="16.4" hidden="false" customHeight="false" outlineLevel="0" collapsed="false">
      <c r="A51" s="1" t="s">
        <v>89</v>
      </c>
      <c r="B51" s="2" t="s">
        <v>90</v>
      </c>
      <c r="C51" s="3" t="e">
        <f aca="false">VLOOKUP(B51,'RISCHIO PESO 3.0'!B:B,1,FALSE())</f>
        <v>#N/A</v>
      </c>
      <c r="D51" s="2" t="str">
        <f aca="false">VLOOKUP(B51,'RISCHIO T2D 3.0'!B:B,1,FALSE())</f>
        <v>rs1799884</v>
      </c>
      <c r="E51" s="2" t="e">
        <f aca="false">VLOOKUP(B51,'RISCHIO CARDIO 3.0'!B:B,1,FALSE())</f>
        <v>#N/A</v>
      </c>
      <c r="F51" s="2" t="e">
        <f aca="false">VLOOKUP(B51,'RISCHIO VITA 3.0'!C:C,1,FALSE())</f>
        <v>#N/A</v>
      </c>
      <c r="G51" s="2" t="e">
        <f aca="false">VLOOKUP(B51,'RISCHIO SPORT'!B:B,1,FALSE())</f>
        <v>#N/A</v>
      </c>
      <c r="H51" s="2" t="e">
        <f aca="false">VLOOKUP(B51,'RISCHIO AGING '!B:B,1,FALSE())</f>
        <v>#N/A</v>
      </c>
      <c r="I51" s="2" t="e">
        <f aca="false">VLOOKUP(B51,'RISCHIO MAMMA'!B:B,1,FALSE())</f>
        <v>#N/A</v>
      </c>
      <c r="J51" s="2" t="e">
        <f aca="false">VLOOKUP(B51,'RIS PLUS3.0'!B:B,1,FALSE())</f>
        <v>#N/A</v>
      </c>
      <c r="N51" s="2" t="s">
        <v>90</v>
      </c>
    </row>
    <row r="52" customFormat="false" ht="16.4" hidden="false" customHeight="false" outlineLevel="0" collapsed="false">
      <c r="A52" s="1" t="s">
        <v>91</v>
      </c>
      <c r="B52" s="2" t="s">
        <v>92</v>
      </c>
      <c r="C52" s="3" t="str">
        <f aca="false">VLOOKUP(B52,'RISCHIO PESO 3.0'!B:B,1,FALSE())</f>
        <v>rs7799039</v>
      </c>
      <c r="D52" s="2" t="e">
        <f aca="false">VLOOKUP(B52,'RISCHIO T2D 3.0'!B:B,1,FALSE())</f>
        <v>#N/A</v>
      </c>
      <c r="E52" s="2" t="e">
        <f aca="false">VLOOKUP(B52,'RISCHIO CARDIO 3.0'!B:B,1,FALSE())</f>
        <v>#N/A</v>
      </c>
      <c r="F52" s="2" t="e">
        <f aca="false">VLOOKUP(B52,'RISCHIO VITA 3.0'!C:C,1,FALSE())</f>
        <v>#N/A</v>
      </c>
      <c r="G52" s="2" t="e">
        <f aca="false">VLOOKUP(B52,'RISCHIO SPORT'!B:B,1,FALSE())</f>
        <v>#N/A</v>
      </c>
      <c r="H52" s="2" t="e">
        <f aca="false">VLOOKUP(B52,'RISCHIO AGING '!B:B,1,FALSE())</f>
        <v>#N/A</v>
      </c>
      <c r="I52" s="2" t="e">
        <f aca="false">VLOOKUP(B52,'RISCHIO MAMMA'!B:B,1,FALSE())</f>
        <v>#N/A</v>
      </c>
      <c r="J52" s="2" t="e">
        <f aca="false">VLOOKUP(B52,'RIS PLUS3.0'!B:B,1,FALSE())</f>
        <v>#N/A</v>
      </c>
      <c r="M52" s="2" t="s">
        <v>92</v>
      </c>
    </row>
    <row r="53" customFormat="false" ht="16.4" hidden="false" customHeight="false" outlineLevel="0" collapsed="false">
      <c r="A53" s="1" t="s">
        <v>93</v>
      </c>
      <c r="B53" s="2" t="s">
        <v>94</v>
      </c>
      <c r="C53" s="3" t="e">
        <f aca="false">VLOOKUP(B53,'RISCHIO PESO 3.0'!B:B,1,FALSE())</f>
        <v>#N/A</v>
      </c>
      <c r="D53" s="2" t="e">
        <f aca="false">VLOOKUP(B53,'RISCHIO T2D 3.0'!B:B,1,FALSE())</f>
        <v>#N/A</v>
      </c>
      <c r="E53" s="2" t="e">
        <f aca="false">VLOOKUP(B53,'RISCHIO CARDIO 3.0'!B:B,1,FALSE())</f>
        <v>#N/A</v>
      </c>
      <c r="F53" s="2" t="e">
        <f aca="false">VLOOKUP(B53,'RISCHIO VITA 3.0'!C:C,1,FALSE())</f>
        <v>#N/A</v>
      </c>
      <c r="G53" s="2" t="str">
        <f aca="false">VLOOKUP(B53,'RISCHIO SPORT'!B:B,1,FALSE())</f>
        <v>rs2070744</v>
      </c>
      <c r="H53" s="2" t="e">
        <f aca="false">VLOOKUP(B53,'RISCHIO AGING '!B:B,1,FALSE())</f>
        <v>#N/A</v>
      </c>
      <c r="I53" s="2" t="e">
        <f aca="false">VLOOKUP(B53,'RISCHIO MAMMA'!B:B,1,FALSE())</f>
        <v>#N/A</v>
      </c>
      <c r="J53" s="2" t="e">
        <f aca="false">VLOOKUP(B53,'RIS PLUS3.0'!B:B,1,FALSE())</f>
        <v>#N/A</v>
      </c>
      <c r="Q53" s="2" t="s">
        <v>94</v>
      </c>
    </row>
    <row r="54" customFormat="false" ht="16.4" hidden="false" customHeight="false" outlineLevel="0" collapsed="false">
      <c r="A54" s="1" t="s">
        <v>93</v>
      </c>
      <c r="B54" s="2" t="s">
        <v>95</v>
      </c>
      <c r="C54" s="3" t="e">
        <f aca="false">VLOOKUP(B54,'RISCHIO PESO 3.0'!B:B,1,FALSE())</f>
        <v>#N/A</v>
      </c>
      <c r="D54" s="2" t="e">
        <f aca="false">VLOOKUP(B54,'RISCHIO T2D 3.0'!B:B,1,FALSE())</f>
        <v>#N/A</v>
      </c>
      <c r="E54" s="2" t="e">
        <f aca="false">VLOOKUP(B54,'RISCHIO CARDIO 3.0'!B:B,1,FALSE())</f>
        <v>#N/A</v>
      </c>
      <c r="F54" s="2" t="e">
        <f aca="false">VLOOKUP(B54,'RISCHIO VITA 3.0'!C:C,1,FALSE())</f>
        <v>#N/A</v>
      </c>
      <c r="G54" s="2" t="str">
        <f aca="false">VLOOKUP(B54,'RISCHIO SPORT'!B:B,1,FALSE())</f>
        <v>rs1799983</v>
      </c>
      <c r="H54" s="2" t="e">
        <f aca="false">VLOOKUP(B54,'RISCHIO AGING '!B:B,1,FALSE())</f>
        <v>#N/A</v>
      </c>
      <c r="I54" s="2" t="e">
        <f aca="false">VLOOKUP(B54,'RISCHIO MAMMA'!B:B,1,FALSE())</f>
        <v>#N/A</v>
      </c>
      <c r="J54" s="2" t="e">
        <f aca="false">VLOOKUP(B54,'RIS PLUS3.0'!B:B,1,FALSE())</f>
        <v>#N/A</v>
      </c>
      <c r="Q54" s="2" t="s">
        <v>95</v>
      </c>
    </row>
    <row r="55" s="7" customFormat="true" ht="15" hidden="false" customHeight="false" outlineLevel="0" collapsed="false">
      <c r="A55" s="6" t="s">
        <v>96</v>
      </c>
      <c r="B55" s="7" t="s">
        <v>97</v>
      </c>
      <c r="C55" s="8" t="e">
        <f aca="false">VLOOKUP(B55,'RISCHIO PESO 3.0'!B:B,1,FALSE())</f>
        <v>#N/A</v>
      </c>
      <c r="D55" s="7" t="e">
        <f aca="false">VLOOKUP(B55,'RISCHIO T2D 3.0'!B:B,1,FALSE())</f>
        <v>#N/A</v>
      </c>
      <c r="E55" s="7" t="e">
        <f aca="false">VLOOKUP(B55,'RISCHIO CARDIO 3.0'!B:B,1,FALSE())</f>
        <v>#N/A</v>
      </c>
      <c r="F55" s="7" t="e">
        <f aca="false">VLOOKUP(B55,'RISCHIO VITA 3.0'!C:C,1,FALSE())</f>
        <v>#N/A</v>
      </c>
      <c r="G55" s="7" t="e">
        <f aca="false">VLOOKUP(B55,'RISCHIO SPORT'!B:B,1,FALSE())</f>
        <v>#N/A</v>
      </c>
      <c r="H55" s="7" t="e">
        <f aca="false">VLOOKUP(B55,'RISCHIO AGING '!B:B,1,FALSE())</f>
        <v>#N/A</v>
      </c>
      <c r="I55" s="7" t="e">
        <f aca="false">VLOOKUP(B55,'RISCHIO MAMMA'!B:B,1,FALSE())</f>
        <v>#N/A</v>
      </c>
      <c r="J55" s="7" t="e">
        <f aca="false">VLOOKUP(B55,'RIS PLUS3.0'!B:B,1,FALSE())</f>
        <v>#N/A</v>
      </c>
      <c r="L55" s="9"/>
      <c r="M55" s="9"/>
      <c r="N55" s="9"/>
      <c r="O55" s="9"/>
      <c r="P55" s="9"/>
      <c r="Q55" s="9"/>
      <c r="R55" s="9"/>
      <c r="S55" s="9"/>
    </row>
    <row r="56" customFormat="false" ht="16.4" hidden="false" customHeight="false" outlineLevel="0" collapsed="false">
      <c r="A56" s="1" t="s">
        <v>98</v>
      </c>
      <c r="B56" s="2" t="s">
        <v>99</v>
      </c>
      <c r="C56" s="3" t="e">
        <f aca="false">VLOOKUP(B56,'RISCHIO PESO 3.0'!B:B,1,FALSE())</f>
        <v>#N/A</v>
      </c>
      <c r="D56" s="2" t="e">
        <f aca="false">VLOOKUP(B56,'RISCHIO T2D 3.0'!B:B,1,FALSE())</f>
        <v>#N/A</v>
      </c>
      <c r="E56" s="2" t="e">
        <f aca="false">VLOOKUP(B56,'RISCHIO CARDIO 3.0'!B:B,1,FALSE())</f>
        <v>#N/A</v>
      </c>
      <c r="F56" s="2" t="e">
        <f aca="false">VLOOKUP(B56,'RISCHIO VITA 3.0'!C:C,1,FALSE())</f>
        <v>#N/A</v>
      </c>
      <c r="G56" s="2" t="e">
        <f aca="false">VLOOKUP(B56,'RISCHIO SPORT'!B:B,1,FALSE())</f>
        <v>#N/A</v>
      </c>
      <c r="H56" s="2" t="e">
        <f aca="false">VLOOKUP(B56,'RISCHIO AGING '!B:B,1,FALSE())</f>
        <v>#N/A</v>
      </c>
      <c r="I56" s="2" t="str">
        <f aca="false">VLOOKUP(B56,'RISCHIO MAMMA'!B:B,1,FALSE())</f>
        <v>rs1532423</v>
      </c>
      <c r="J56" s="2" t="e">
        <f aca="false">VLOOKUP(B56,'RIS PLUS3.0'!B:B,1,FALSE())</f>
        <v>#N/A</v>
      </c>
      <c r="S56" s="2" t="s">
        <v>99</v>
      </c>
    </row>
    <row r="57" customFormat="false" ht="16.4" hidden="false" customHeight="false" outlineLevel="0" collapsed="false">
      <c r="A57" s="1" t="s">
        <v>100</v>
      </c>
      <c r="B57" s="2" t="s">
        <v>101</v>
      </c>
      <c r="C57" s="3" t="e">
        <f aca="false">VLOOKUP(B57,'RISCHIO PESO 3.0'!B:B,1,FALSE())</f>
        <v>#N/A</v>
      </c>
      <c r="D57" s="2" t="str">
        <f aca="false">VLOOKUP(B57,'RISCHIO T2D 3.0'!B:B,1,FALSE())</f>
        <v>rs13266634</v>
      </c>
      <c r="E57" s="2" t="e">
        <f aca="false">VLOOKUP(B57,'RISCHIO CARDIO 3.0'!B:B,1,FALSE())</f>
        <v>#N/A</v>
      </c>
      <c r="F57" s="2" t="e">
        <f aca="false">VLOOKUP(B57,'RISCHIO VITA 3.0'!C:C,1,FALSE())</f>
        <v>#N/A</v>
      </c>
      <c r="G57" s="2" t="e">
        <f aca="false">VLOOKUP(B57,'RISCHIO SPORT'!B:B,1,FALSE())</f>
        <v>#N/A</v>
      </c>
      <c r="H57" s="2" t="e">
        <f aca="false">VLOOKUP(B57,'RISCHIO AGING '!B:B,1,FALSE())</f>
        <v>#N/A</v>
      </c>
      <c r="I57" s="2" t="e">
        <f aca="false">VLOOKUP(B57,'RISCHIO MAMMA'!B:B,1,FALSE())</f>
        <v>#N/A</v>
      </c>
      <c r="J57" s="2" t="e">
        <f aca="false">VLOOKUP(B57,'RIS PLUS3.0'!B:B,1,FALSE())</f>
        <v>#N/A</v>
      </c>
      <c r="N57" s="2" t="s">
        <v>101</v>
      </c>
    </row>
    <row r="58" customFormat="false" ht="16.4" hidden="false" customHeight="false" outlineLevel="0" collapsed="false">
      <c r="A58" s="1" t="s">
        <v>102</v>
      </c>
      <c r="B58" s="2" t="s">
        <v>103</v>
      </c>
      <c r="C58" s="3" t="e">
        <f aca="false">VLOOKUP(B58,'RISCHIO PESO 3.0'!B:B,1,FALSE())</f>
        <v>#N/A</v>
      </c>
      <c r="D58" s="2" t="e">
        <f aca="false">VLOOKUP(B58,'RISCHIO T2D 3.0'!B:B,1,FALSE())</f>
        <v>#N/A</v>
      </c>
      <c r="E58" s="2" t="e">
        <f aca="false">VLOOKUP(B58,'RISCHIO CARDIO 3.0'!B:B,1,FALSE())</f>
        <v>#N/A</v>
      </c>
      <c r="F58" s="2" t="e">
        <f aca="false">VLOOKUP(B58,'RISCHIO VITA 3.0'!C:C,1,FALSE())</f>
        <v>#N/A</v>
      </c>
      <c r="G58" s="2" t="e">
        <f aca="false">VLOOKUP(B58,'RISCHIO SPORT'!B:B,1,FALSE())</f>
        <v>#N/A</v>
      </c>
      <c r="H58" s="2" t="str">
        <f aca="false">VLOOKUP(B58,'RISCHIO AGING '!B:B,1,FALSE())</f>
        <v>rs17553719</v>
      </c>
      <c r="I58" s="2" t="e">
        <f aca="false">VLOOKUP(B58,'RISCHIO MAMMA'!B:B,1,FALSE())</f>
        <v>#N/A</v>
      </c>
      <c r="J58" s="2" t="e">
        <f aca="false">VLOOKUP(B58,'RIS PLUS3.0'!B:B,1,FALSE())</f>
        <v>#N/A</v>
      </c>
      <c r="R58" s="2" t="s">
        <v>103</v>
      </c>
    </row>
    <row r="59" customFormat="false" ht="16.4" hidden="false" customHeight="false" outlineLevel="0" collapsed="false">
      <c r="A59" s="1" t="s">
        <v>104</v>
      </c>
      <c r="B59" s="2" t="s">
        <v>105</v>
      </c>
      <c r="C59" s="3" t="e">
        <f aca="false">VLOOKUP(B59,'RISCHIO PESO 3.0'!B:B,1,FALSE())</f>
        <v>#N/A</v>
      </c>
      <c r="D59" s="2" t="e">
        <f aca="false">VLOOKUP(B59,'RISCHIO T2D 3.0'!B:B,1,FALSE())</f>
        <v>#N/A</v>
      </c>
      <c r="E59" s="2" t="e">
        <f aca="false">VLOOKUP(B59,'RISCHIO CARDIO 3.0'!B:B,1,FALSE())</f>
        <v>#N/A</v>
      </c>
      <c r="F59" s="2" t="e">
        <f aca="false">VLOOKUP(B59,'RISCHIO VITA 3.0'!C:C,1,FALSE())</f>
        <v>#N/A</v>
      </c>
      <c r="G59" s="2" t="e">
        <f aca="false">VLOOKUP(B59,'RISCHIO SPORT'!B:B,1,FALSE())</f>
        <v>#N/A</v>
      </c>
      <c r="H59" s="2" t="e">
        <f aca="false">VLOOKUP(B59,'RISCHIO AGING '!B:B,1,FALSE())</f>
        <v>#N/A</v>
      </c>
      <c r="I59" s="2" t="e">
        <f aca="false">VLOOKUP(B59,'RISCHIO MAMMA'!B:B,1,FALSE())</f>
        <v>#N/A</v>
      </c>
      <c r="J59" s="2" t="e">
        <f aca="false">VLOOKUP(B59,'RIS PLUS3.0'!B:B,1,FALSE())</f>
        <v>#N/A</v>
      </c>
      <c r="L59" s="2" t="s">
        <v>105</v>
      </c>
    </row>
    <row r="60" customFormat="false" ht="16.4" hidden="false" customHeight="false" outlineLevel="0" collapsed="false">
      <c r="A60" s="1" t="s">
        <v>104</v>
      </c>
      <c r="B60" s="2" t="s">
        <v>106</v>
      </c>
      <c r="C60" s="3" t="e">
        <f aca="false">VLOOKUP(B60,'RISCHIO PESO 3.0'!B:B,1,FALSE())</f>
        <v>#N/A</v>
      </c>
      <c r="D60" s="2" t="e">
        <f aca="false">VLOOKUP(B60,'RISCHIO T2D 3.0'!B:B,1,FALSE())</f>
        <v>#N/A</v>
      </c>
      <c r="E60" s="2" t="e">
        <f aca="false">VLOOKUP(B60,'RISCHIO CARDIO 3.0'!B:B,1,FALSE())</f>
        <v>#N/A</v>
      </c>
      <c r="F60" s="2" t="e">
        <f aca="false">VLOOKUP(B60,'RISCHIO VITA 3.0'!C:C,1,FALSE())</f>
        <v>#N/A</v>
      </c>
      <c r="G60" s="2" t="e">
        <f aca="false">VLOOKUP(B60,'RISCHIO SPORT'!B:B,1,FALSE())</f>
        <v>#N/A</v>
      </c>
      <c r="H60" s="2" t="e">
        <f aca="false">VLOOKUP(B60,'RISCHIO AGING '!B:B,1,FALSE())</f>
        <v>#N/A</v>
      </c>
      <c r="I60" s="2" t="e">
        <f aca="false">VLOOKUP(B60,'RISCHIO MAMMA'!B:B,1,FALSE())</f>
        <v>#N/A</v>
      </c>
      <c r="J60" s="2" t="e">
        <f aca="false">VLOOKUP(B60,'RIS PLUS3.0'!B:B,1,FALSE())</f>
        <v>#N/A</v>
      </c>
      <c r="L60" s="2" t="s">
        <v>106</v>
      </c>
    </row>
    <row r="61" customFormat="false" ht="16.4" hidden="false" customHeight="false" outlineLevel="0" collapsed="false">
      <c r="A61" s="1" t="s">
        <v>107</v>
      </c>
      <c r="B61" s="2" t="s">
        <v>108</v>
      </c>
      <c r="C61" s="3" t="e">
        <f aca="false">VLOOKUP(B61,'RISCHIO PESO 3.0'!B:B,1,FALSE())</f>
        <v>#N/A</v>
      </c>
      <c r="D61" s="2" t="e">
        <f aca="false">VLOOKUP(B61,'RISCHIO T2D 3.0'!B:B,1,FALSE())</f>
        <v>#N/A</v>
      </c>
      <c r="E61" s="2" t="e">
        <f aca="false">VLOOKUP(B61,'RISCHIO CARDIO 3.0'!B:B,1,FALSE())</f>
        <v>#N/A</v>
      </c>
      <c r="F61" s="2" t="e">
        <f aca="false">VLOOKUP(B61,'RISCHIO VITA 3.0'!C:C,1,FALSE())</f>
        <v>#N/A</v>
      </c>
      <c r="G61" s="2" t="e">
        <f aca="false">VLOOKUP(B61,'RISCHIO SPORT'!B:B,1,FALSE())</f>
        <v>#N/A</v>
      </c>
      <c r="H61" s="2" t="e">
        <f aca="false">VLOOKUP(B61,'RISCHIO AGING '!B:B,1,FALSE())</f>
        <v>#N/A</v>
      </c>
      <c r="I61" s="2" t="e">
        <f aca="false">VLOOKUP(B61,'RISCHIO MAMMA'!B:B,1,FALSE())</f>
        <v>#N/A</v>
      </c>
      <c r="J61" s="2" t="e">
        <f aca="false">VLOOKUP(B61,'RIS PLUS3.0'!B:B,1,FALSE())</f>
        <v>#N/A</v>
      </c>
      <c r="Q61" s="2" t="s">
        <v>108</v>
      </c>
    </row>
    <row r="62" s="7" customFormat="true" ht="15" hidden="false" customHeight="false" outlineLevel="0" collapsed="false">
      <c r="A62" s="6" t="s">
        <v>109</v>
      </c>
      <c r="B62" s="7" t="s">
        <v>110</v>
      </c>
      <c r="C62" s="8" t="e">
        <f aca="false">VLOOKUP(B62,'RISCHIO PESO 3.0'!B:B,1,FALSE())</f>
        <v>#N/A</v>
      </c>
      <c r="D62" s="7" t="e">
        <f aca="false">VLOOKUP(B62,'RISCHIO T2D 3.0'!B:B,1,FALSE())</f>
        <v>#N/A</v>
      </c>
      <c r="E62" s="7" t="e">
        <f aca="false">VLOOKUP(B62,'RISCHIO CARDIO 3.0'!B:B,1,FALSE())</f>
        <v>#N/A</v>
      </c>
      <c r="F62" s="7" t="e">
        <f aca="false">VLOOKUP(B62,'RISCHIO VITA 3.0'!C:C,1,FALSE())</f>
        <v>#N/A</v>
      </c>
      <c r="G62" s="7" t="e">
        <f aca="false">VLOOKUP(B62,'RISCHIO SPORT'!B:B,1,FALSE())</f>
        <v>#N/A</v>
      </c>
      <c r="H62" s="7" t="e">
        <f aca="false">VLOOKUP(B62,'RISCHIO AGING '!B:B,1,FALSE())</f>
        <v>#N/A</v>
      </c>
      <c r="I62" s="7" t="e">
        <f aca="false">VLOOKUP(B62,'RISCHIO MAMMA'!B:B,1,FALSE())</f>
        <v>#N/A</v>
      </c>
      <c r="J62" s="7" t="e">
        <f aca="false">VLOOKUP(B62,'RIS PLUS3.0'!B:B,1,FALSE())</f>
        <v>#N/A</v>
      </c>
      <c r="L62" s="9"/>
      <c r="M62" s="9"/>
      <c r="N62" s="9"/>
      <c r="O62" s="9"/>
      <c r="P62" s="9"/>
      <c r="Q62" s="9"/>
      <c r="R62" s="9"/>
      <c r="S62" s="9"/>
    </row>
    <row r="63" customFormat="false" ht="16.4" hidden="false" customHeight="false" outlineLevel="0" collapsed="false">
      <c r="A63" s="1" t="s">
        <v>109</v>
      </c>
      <c r="B63" s="2" t="s">
        <v>111</v>
      </c>
      <c r="C63" s="3" t="e">
        <f aca="false">VLOOKUP(B63,'RISCHIO PESO 3.0'!B:B,1,FALSE())</f>
        <v>#N/A</v>
      </c>
      <c r="D63" s="2" t="e">
        <f aca="false">VLOOKUP(B63,'RISCHIO T2D 3.0'!B:B,1,FALSE())</f>
        <v>#N/A</v>
      </c>
      <c r="E63" s="2" t="e">
        <f aca="false">VLOOKUP(B63,'RISCHIO CARDIO 3.0'!B:B,1,FALSE())</f>
        <v>#N/A</v>
      </c>
      <c r="F63" s="2" t="e">
        <f aca="false">VLOOKUP(B63,'RISCHIO VITA 3.0'!C:C,1,FALSE())</f>
        <v>#N/A</v>
      </c>
      <c r="G63" s="2" t="e">
        <f aca="false">VLOOKUP(B63,'RISCHIO SPORT'!B:B,1,FALSE())</f>
        <v>#N/A</v>
      </c>
      <c r="H63" s="2" t="e">
        <f aca="false">VLOOKUP(B63,'RISCHIO AGING '!B:B,1,FALSE())</f>
        <v>#N/A</v>
      </c>
      <c r="I63" s="2" t="e">
        <f aca="false">VLOOKUP(B63,'RISCHIO MAMMA'!B:B,1,FALSE())</f>
        <v>#N/A</v>
      </c>
      <c r="J63" s="2" t="e">
        <f aca="false">VLOOKUP(B63,'RIS PLUS3.0'!B:B,1,FALSE())</f>
        <v>#N/A</v>
      </c>
      <c r="Q63" s="2" t="s">
        <v>111</v>
      </c>
    </row>
    <row r="64" customFormat="false" ht="16.4" hidden="false" customHeight="false" outlineLevel="0" collapsed="false">
      <c r="A64" s="1" t="s">
        <v>109</v>
      </c>
      <c r="B64" s="2" t="s">
        <v>112</v>
      </c>
      <c r="C64" s="3" t="e">
        <f aca="false">VLOOKUP(B64,'RISCHIO PESO 3.0'!B:B,1,FALSE())</f>
        <v>#N/A</v>
      </c>
      <c r="D64" s="2" t="e">
        <f aca="false">VLOOKUP(B64,'RISCHIO T2D 3.0'!B:B,1,FALSE())</f>
        <v>#N/A</v>
      </c>
      <c r="E64" s="2" t="e">
        <f aca="false">VLOOKUP(B64,'RISCHIO CARDIO 3.0'!B:B,1,FALSE())</f>
        <v>#N/A</v>
      </c>
      <c r="F64" s="2" t="e">
        <f aca="false">VLOOKUP(B64,'RISCHIO VITA 3.0'!C:C,1,FALSE())</f>
        <v>#N/A</v>
      </c>
      <c r="G64" s="2" t="str">
        <f aca="false">VLOOKUP(B64,'RISCHIO SPORT'!B:B,1,FALSE())</f>
        <v>rs1330363</v>
      </c>
      <c r="H64" s="2" t="e">
        <f aca="false">VLOOKUP(B64,'RISCHIO AGING '!B:B,1,FALSE())</f>
        <v>#N/A</v>
      </c>
      <c r="I64" s="2" t="e">
        <f aca="false">VLOOKUP(B64,'RISCHIO MAMMA'!B:B,1,FALSE())</f>
        <v>#N/A</v>
      </c>
      <c r="J64" s="2" t="e">
        <f aca="false">VLOOKUP(B64,'RIS PLUS3.0'!B:B,1,FALSE())</f>
        <v>#N/A</v>
      </c>
      <c r="Q64" s="2" t="s">
        <v>112</v>
      </c>
    </row>
    <row r="65" customFormat="false" ht="16.4" hidden="false" customHeight="false" outlineLevel="0" collapsed="false">
      <c r="A65" s="1" t="s">
        <v>113</v>
      </c>
      <c r="B65" s="2" t="s">
        <v>114</v>
      </c>
      <c r="C65" s="3" t="e">
        <f aca="false">VLOOKUP(B65,'RISCHIO PESO 3.0'!B:B,1,FALSE())</f>
        <v>#N/A</v>
      </c>
      <c r="D65" s="2" t="e">
        <f aca="false">VLOOKUP(B65,'RISCHIO T2D 3.0'!B:B,1,FALSE())</f>
        <v>#N/A</v>
      </c>
      <c r="E65" s="2" t="e">
        <f aca="false">VLOOKUP(B65,'RISCHIO CARDIO 3.0'!B:B,1,FALSE())</f>
        <v>#N/A</v>
      </c>
      <c r="F65" s="2" t="e">
        <f aca="false">VLOOKUP(B65,'RISCHIO VITA 3.0'!C:C,1,FALSE())</f>
        <v>#N/A</v>
      </c>
      <c r="G65" s="2" t="str">
        <f aca="false">VLOOKUP(B65,'RISCHIO SPORT'!B:B,1,FALSE())</f>
        <v>rs12722</v>
      </c>
      <c r="H65" s="2" t="e">
        <f aca="false">VLOOKUP(B65,'RISCHIO AGING '!B:B,1,FALSE())</f>
        <v>#N/A</v>
      </c>
      <c r="I65" s="2" t="e">
        <f aca="false">VLOOKUP(B65,'RISCHIO MAMMA'!B:B,1,FALSE())</f>
        <v>#N/A</v>
      </c>
      <c r="J65" s="2" t="e">
        <f aca="false">VLOOKUP(B65,'RIS PLUS3.0'!B:B,1,FALSE())</f>
        <v>#N/A</v>
      </c>
      <c r="Q65" s="2" t="s">
        <v>114</v>
      </c>
    </row>
    <row r="66" customFormat="false" ht="16.4" hidden="false" customHeight="false" outlineLevel="0" collapsed="false">
      <c r="A66" s="1" t="s">
        <v>115</v>
      </c>
      <c r="B66" s="2" t="s">
        <v>116</v>
      </c>
      <c r="C66" s="3" t="e">
        <f aca="false">VLOOKUP(B66,'RISCHIO PESO 3.0'!B:B,1,FALSE())</f>
        <v>#N/A</v>
      </c>
      <c r="D66" s="2" t="str">
        <f aca="false">VLOOKUP(B66,'RISCHIO T2D 3.0'!B:B,1,FALSE())</f>
        <v>rs7903146</v>
      </c>
      <c r="E66" s="2" t="e">
        <f aca="false">VLOOKUP(B66,'RISCHIO CARDIO 3.0'!B:B,1,FALSE())</f>
        <v>#N/A</v>
      </c>
      <c r="F66" s="2" t="e">
        <f aca="false">VLOOKUP(B66,'RISCHIO VITA 3.0'!C:C,1,FALSE())</f>
        <v>#N/A</v>
      </c>
      <c r="G66" s="2" t="e">
        <f aca="false">VLOOKUP(B66,'RISCHIO SPORT'!B:B,1,FALSE())</f>
        <v>#N/A</v>
      </c>
      <c r="H66" s="2" t="e">
        <f aca="false">VLOOKUP(B66,'RISCHIO AGING '!B:B,1,FALSE())</f>
        <v>#N/A</v>
      </c>
      <c r="I66" s="2" t="e">
        <f aca="false">VLOOKUP(B66,'RISCHIO MAMMA'!B:B,1,FALSE())</f>
        <v>#N/A</v>
      </c>
      <c r="J66" s="2" t="e">
        <f aca="false">VLOOKUP(B66,'RIS PLUS3.0'!B:B,1,FALSE())</f>
        <v>#N/A</v>
      </c>
      <c r="N66" s="2" t="s">
        <v>116</v>
      </c>
      <c r="O66" s="2" t="s">
        <v>116</v>
      </c>
    </row>
    <row r="67" customFormat="false" ht="16.4" hidden="false" customHeight="false" outlineLevel="0" collapsed="false">
      <c r="A67" s="1" t="s">
        <v>117</v>
      </c>
      <c r="B67" s="2" t="s">
        <v>118</v>
      </c>
      <c r="C67" s="3" t="e">
        <f aca="false">VLOOKUP(B67,'RISCHIO PESO 3.0'!B:B,1,FALSE())</f>
        <v>#N/A</v>
      </c>
      <c r="D67" s="2" t="e">
        <f aca="false">VLOOKUP(B67,'RISCHIO T2D 3.0'!B:B,1,FALSE())</f>
        <v>#N/A</v>
      </c>
      <c r="E67" s="2" t="e">
        <f aca="false">VLOOKUP(B67,'RISCHIO CARDIO 3.0'!B:B,1,FALSE())</f>
        <v>#N/A</v>
      </c>
      <c r="F67" s="2" t="e">
        <f aca="false">VLOOKUP(B67,'RISCHIO VITA 3.0'!C:C,1,FALSE())</f>
        <v>#N/A</v>
      </c>
      <c r="G67" s="2" t="e">
        <f aca="false">VLOOKUP(B67,'RISCHIO SPORT'!B:B,1,FALSE())</f>
        <v>#N/A</v>
      </c>
      <c r="H67" s="2" t="e">
        <f aca="false">VLOOKUP(B67,'RISCHIO AGING '!B:B,1,FALSE())</f>
        <v>#N/A</v>
      </c>
      <c r="I67" s="2" t="e">
        <f aca="false">VLOOKUP(B67,'RISCHIO MAMMA'!B:B,1,FALSE())</f>
        <v>#N/A</v>
      </c>
      <c r="J67" s="2" t="e">
        <f aca="false">VLOOKUP(B67,'RIS PLUS3.0'!B:B,1,FALSE())</f>
        <v>#N/A</v>
      </c>
      <c r="O67" s="2" t="s">
        <v>118</v>
      </c>
    </row>
    <row r="68" customFormat="false" ht="16.4" hidden="false" customHeight="false" outlineLevel="0" collapsed="false">
      <c r="A68" s="1" t="s">
        <v>119</v>
      </c>
      <c r="B68" s="2" t="s">
        <v>120</v>
      </c>
      <c r="C68" s="3" t="e">
        <f aca="false">VLOOKUP(B68,'RISCHIO PESO 3.0'!B:B,1,FALSE())</f>
        <v>#N/A</v>
      </c>
      <c r="D68" s="2" t="e">
        <f aca="false">VLOOKUP(B68,'RISCHIO T2D 3.0'!B:B,1,FALSE())</f>
        <v>#N/A</v>
      </c>
      <c r="E68" s="2" t="e">
        <f aca="false">VLOOKUP(B68,'RISCHIO CARDIO 3.0'!B:B,1,FALSE())</f>
        <v>#N/A</v>
      </c>
      <c r="F68" s="2" t="str">
        <f aca="false">VLOOKUP(B68,'RISCHIO VITA 3.0'!C:C,1,FALSE())</f>
        <v>rs10741657</v>
      </c>
      <c r="G68" s="2" t="e">
        <f aca="false">VLOOKUP(B68,'RISCHIO SPORT'!B:B,1,FALSE())</f>
        <v>#N/A</v>
      </c>
      <c r="H68" s="2" t="e">
        <f aca="false">VLOOKUP(B68,'RISCHIO AGING '!B:B,1,FALSE())</f>
        <v>#N/A</v>
      </c>
      <c r="I68" s="2" t="e">
        <f aca="false">VLOOKUP(B68,'RISCHIO MAMMA'!B:B,1,FALSE())</f>
        <v>#N/A</v>
      </c>
      <c r="J68" s="2" t="e">
        <f aca="false">VLOOKUP(B68,'RIS PLUS3.0'!B:B,1,FALSE())</f>
        <v>#N/A</v>
      </c>
      <c r="P68" s="2" t="s">
        <v>120</v>
      </c>
    </row>
    <row r="69" customFormat="false" ht="16.4" hidden="false" customHeight="false" outlineLevel="0" collapsed="false">
      <c r="A69" s="1" t="s">
        <v>121</v>
      </c>
      <c r="B69" s="2" t="s">
        <v>122</v>
      </c>
      <c r="C69" s="3" t="str">
        <f aca="false">VLOOKUP(B69,'RISCHIO PESO 3.0'!B:B,1,FALSE())</f>
        <v>rs6265</v>
      </c>
      <c r="D69" s="2" t="e">
        <f aca="false">VLOOKUP(B69,'RISCHIO T2D 3.0'!B:B,1,FALSE())</f>
        <v>#N/A</v>
      </c>
      <c r="E69" s="2" t="e">
        <f aca="false">VLOOKUP(B69,'RISCHIO CARDIO 3.0'!B:B,1,FALSE())</f>
        <v>#N/A</v>
      </c>
      <c r="F69" s="2" t="e">
        <f aca="false">VLOOKUP(B69,'RISCHIO VITA 3.0'!C:C,1,FALSE())</f>
        <v>#N/A</v>
      </c>
      <c r="G69" s="2" t="e">
        <f aca="false">VLOOKUP(B69,'RISCHIO SPORT'!B:B,1,FALSE())</f>
        <v>#N/A</v>
      </c>
      <c r="H69" s="2" t="e">
        <f aca="false">VLOOKUP(B69,'RISCHIO AGING '!B:B,1,FALSE())</f>
        <v>#N/A</v>
      </c>
      <c r="I69" s="2" t="e">
        <f aca="false">VLOOKUP(B69,'RISCHIO MAMMA'!B:B,1,FALSE())</f>
        <v>#N/A</v>
      </c>
      <c r="J69" s="2" t="e">
        <f aca="false">VLOOKUP(B69,'RIS PLUS3.0'!B:B,1,FALSE())</f>
        <v>#N/A</v>
      </c>
      <c r="M69" s="2" t="s">
        <v>122</v>
      </c>
    </row>
    <row r="70" customFormat="false" ht="16.4" hidden="false" customHeight="false" outlineLevel="0" collapsed="false">
      <c r="A70" s="1" t="s">
        <v>123</v>
      </c>
      <c r="B70" s="2" t="s">
        <v>124</v>
      </c>
      <c r="C70" s="3" t="e">
        <f aca="false">VLOOKUP(B70,'RISCHIO PESO 3.0'!B:B,1,FALSE())</f>
        <v>#N/A</v>
      </c>
      <c r="D70" s="2" t="e">
        <f aca="false">VLOOKUP(B70,'RISCHIO T2D 3.0'!B:B,1,FALSE())</f>
        <v>#N/A</v>
      </c>
      <c r="E70" s="2" t="e">
        <f aca="false">VLOOKUP(B70,'RISCHIO CARDIO 3.0'!B:B,1,FALSE())</f>
        <v>#N/A</v>
      </c>
      <c r="F70" s="2" t="e">
        <f aca="false">VLOOKUP(B70,'RISCHIO VITA 3.0'!C:C,1,FALSE())</f>
        <v>#N/A</v>
      </c>
      <c r="G70" s="2" t="e">
        <f aca="false">VLOOKUP(B70,'RISCHIO SPORT'!B:B,1,FALSE())</f>
        <v>#N/A</v>
      </c>
      <c r="H70" s="2" t="str">
        <f aca="false">VLOOKUP(B70,'RISCHIO AGING '!B:B,1,FALSE())</f>
        <v>rs1001179</v>
      </c>
      <c r="I70" s="2" t="e">
        <f aca="false">VLOOKUP(B70,'RISCHIO MAMMA'!B:B,1,FALSE())</f>
        <v>#N/A</v>
      </c>
      <c r="J70" s="2" t="e">
        <f aca="false">VLOOKUP(B70,'RIS PLUS3.0'!B:B,1,FALSE())</f>
        <v>#N/A</v>
      </c>
      <c r="R70" s="2" t="s">
        <v>124</v>
      </c>
    </row>
    <row r="71" customFormat="false" ht="16.4" hidden="false" customHeight="false" outlineLevel="0" collapsed="false">
      <c r="A71" s="1" t="s">
        <v>125</v>
      </c>
      <c r="B71" s="2" t="s">
        <v>126</v>
      </c>
      <c r="C71" s="3" t="e">
        <f aca="false">VLOOKUP(B71,'RISCHIO PESO 3.0'!B:B,1,FALSE())</f>
        <v>#N/A</v>
      </c>
      <c r="D71" s="2" t="e">
        <f aca="false">VLOOKUP(B71,'RISCHIO T2D 3.0'!B:B,1,FALSE())</f>
        <v>#N/A</v>
      </c>
      <c r="E71" s="2" t="e">
        <f aca="false">VLOOKUP(B71,'RISCHIO CARDIO 3.0'!B:B,1,FALSE())</f>
        <v>#N/A</v>
      </c>
      <c r="F71" s="2" t="e">
        <f aca="false">VLOOKUP(B71,'RISCHIO VITA 3.0'!C:C,1,FALSE())</f>
        <v>#N/A</v>
      </c>
      <c r="G71" s="2" t="e">
        <f aca="false">VLOOKUP(B71,'RISCHIO SPORT'!B:B,1,FALSE())</f>
        <v>#N/A</v>
      </c>
      <c r="H71" s="2" t="e">
        <f aca="false">VLOOKUP(B71,'RISCHIO AGING '!B:B,1,FALSE())</f>
        <v>#N/A</v>
      </c>
      <c r="I71" s="2" t="e">
        <f aca="false">VLOOKUP(B71,'RISCHIO MAMMA'!B:B,1,FALSE())</f>
        <v>#N/A</v>
      </c>
      <c r="J71" s="2" t="e">
        <f aca="false">VLOOKUP(B71,'RIS PLUS3.0'!B:B,1,FALSE())</f>
        <v>#N/A</v>
      </c>
      <c r="O71" s="2" t="s">
        <v>126</v>
      </c>
    </row>
    <row r="72" customFormat="false" ht="16.4" hidden="false" customHeight="false" outlineLevel="0" collapsed="false">
      <c r="A72" s="1" t="s">
        <v>127</v>
      </c>
      <c r="B72" s="2" t="s">
        <v>128</v>
      </c>
      <c r="C72" s="3" t="e">
        <f aca="false">VLOOKUP(B72,'RISCHIO PESO 3.0'!B:B,1,FALSE())</f>
        <v>#N/A</v>
      </c>
      <c r="D72" s="2" t="e">
        <f aca="false">VLOOKUP(B72,'RISCHIO T2D 3.0'!B:B,1,FALSE())</f>
        <v>#N/A</v>
      </c>
      <c r="E72" s="2" t="e">
        <f aca="false">VLOOKUP(B72,'RISCHIO CARDIO 3.0'!B:B,1,FALSE())</f>
        <v>#N/A</v>
      </c>
      <c r="F72" s="2" t="e">
        <f aca="false">VLOOKUP(B72,'RISCHIO VITA 3.0'!C:C,1,FALSE())</f>
        <v>#N/A</v>
      </c>
      <c r="G72" s="2" t="e">
        <f aca="false">VLOOKUP(B72,'RISCHIO SPORT'!B:B,1,FALSE())</f>
        <v>#N/A</v>
      </c>
      <c r="H72" s="2" t="e">
        <f aca="false">VLOOKUP(B72,'RISCHIO AGING '!B:B,1,FALSE())</f>
        <v>#N/A</v>
      </c>
      <c r="I72" s="2" t="e">
        <f aca="false">VLOOKUP(B72,'RISCHIO MAMMA'!B:B,1,FALSE())</f>
        <v>#N/A</v>
      </c>
      <c r="J72" s="2" t="e">
        <f aca="false">VLOOKUP(B72,'RIS PLUS3.0'!B:B,1,FALSE())</f>
        <v>#N/A</v>
      </c>
      <c r="O72" s="2" t="s">
        <v>128</v>
      </c>
    </row>
    <row r="73" customFormat="false" ht="16.4" hidden="false" customHeight="false" outlineLevel="0" collapsed="false">
      <c r="A73" s="1" t="s">
        <v>129</v>
      </c>
      <c r="B73" s="2" t="s">
        <v>130</v>
      </c>
      <c r="C73" s="3" t="e">
        <f aca="false">VLOOKUP(B73,'RISCHIO PESO 3.0'!B:B,1,FALSE())</f>
        <v>#N/A</v>
      </c>
      <c r="D73" s="2" t="e">
        <f aca="false">VLOOKUP(B73,'RISCHIO T2D 3.0'!B:B,1,FALSE())</f>
        <v>#N/A</v>
      </c>
      <c r="E73" s="2" t="e">
        <f aca="false">VLOOKUP(B73,'RISCHIO CARDIO 3.0'!B:B,1,FALSE())</f>
        <v>#N/A</v>
      </c>
      <c r="F73" s="2" t="e">
        <f aca="false">VLOOKUP(B73,'RISCHIO VITA 3.0'!C:C,1,FALSE())</f>
        <v>#N/A</v>
      </c>
      <c r="G73" s="2" t="str">
        <f aca="false">VLOOKUP(B73,'RISCHIO SPORT'!B:B,1,FALSE())</f>
        <v>rs1815739</v>
      </c>
      <c r="H73" s="2" t="e">
        <f aca="false">VLOOKUP(B73,'RISCHIO AGING '!B:B,1,FALSE())</f>
        <v>#N/A</v>
      </c>
      <c r="I73" s="2" t="e">
        <f aca="false">VLOOKUP(B73,'RISCHIO MAMMA'!B:B,1,FALSE())</f>
        <v>#N/A</v>
      </c>
      <c r="J73" s="2" t="e">
        <f aca="false">VLOOKUP(B73,'RIS PLUS3.0'!B:B,1,FALSE())</f>
        <v>#N/A</v>
      </c>
      <c r="Q73" s="2" t="s">
        <v>130</v>
      </c>
    </row>
    <row r="74" customFormat="false" ht="16.4" hidden="false" customHeight="false" outlineLevel="0" collapsed="false">
      <c r="A74" s="1" t="s">
        <v>131</v>
      </c>
      <c r="B74" s="2" t="s">
        <v>132</v>
      </c>
      <c r="C74" s="3" t="e">
        <f aca="false">VLOOKUP(B74,'RISCHIO PESO 3.0'!B:B,1,FALSE())</f>
        <v>#N/A</v>
      </c>
      <c r="D74" s="2" t="e">
        <f aca="false">VLOOKUP(B74,'RISCHIO T2D 3.0'!B:B,1,FALSE())</f>
        <v>#N/A</v>
      </c>
      <c r="E74" s="2" t="e">
        <f aca="false">VLOOKUP(B74,'RISCHIO CARDIO 3.0'!B:B,1,FALSE())</f>
        <v>#N/A</v>
      </c>
      <c r="F74" s="2" t="e">
        <f aca="false">VLOOKUP(B74,'RISCHIO VITA 3.0'!C:C,1,FALSE())</f>
        <v>#N/A</v>
      </c>
      <c r="G74" s="2" t="str">
        <f aca="false">VLOOKUP(B74,'RISCHIO SPORT'!B:B,1,FALSE())</f>
        <v>rs3736228</v>
      </c>
      <c r="H74" s="2" t="e">
        <f aca="false">VLOOKUP(B74,'RISCHIO AGING '!B:B,1,FALSE())</f>
        <v>#N/A</v>
      </c>
      <c r="I74" s="2" t="e">
        <f aca="false">VLOOKUP(B74,'RISCHIO MAMMA'!B:B,1,FALSE())</f>
        <v>#N/A</v>
      </c>
      <c r="J74" s="2" t="e">
        <f aca="false">VLOOKUP(B74,'RIS PLUS3.0'!B:B,1,FALSE())</f>
        <v>#N/A</v>
      </c>
      <c r="Q74" s="2" t="s">
        <v>132</v>
      </c>
    </row>
    <row r="75" s="11" customFormat="true" ht="16.4" hidden="false" customHeight="false" outlineLevel="0" collapsed="false">
      <c r="A75" s="10" t="s">
        <v>133</v>
      </c>
      <c r="B75" s="11" t="s">
        <v>134</v>
      </c>
      <c r="C75" s="12" t="e">
        <f aca="false">VLOOKUP(B75,'RISCHIO PESO 3.0'!B:B,1,FALSE())</f>
        <v>#N/A</v>
      </c>
      <c r="D75" s="11" t="e">
        <f aca="false">VLOOKUP(B75,'RISCHIO T2D 3.0'!B:B,1,FALSE())</f>
        <v>#N/A</v>
      </c>
      <c r="E75" s="11" t="e">
        <f aca="false">VLOOKUP(B75,'RISCHIO CARDIO 3.0'!B:B,1,FALSE())</f>
        <v>#N/A</v>
      </c>
      <c r="F75" s="11" t="e">
        <f aca="false">VLOOKUP(B75,'RISCHIO VITA 3.0'!C:C,1,FALSE())</f>
        <v>#N/A</v>
      </c>
      <c r="G75" s="11" t="e">
        <f aca="false">VLOOKUP(B75,'RISCHIO SPORT'!B:B,1,FALSE())</f>
        <v>#N/A</v>
      </c>
      <c r="H75" s="11" t="e">
        <f aca="false">VLOOKUP(B75,'RISCHIO AGING '!B:B,1,FALSE())</f>
        <v>#N/A</v>
      </c>
      <c r="I75" s="11" t="e">
        <f aca="false">VLOOKUP(B75,'RISCHIO MAMMA'!B:B,1,FALSE())</f>
        <v>#N/A</v>
      </c>
      <c r="J75" s="11" t="e">
        <f aca="false">VLOOKUP(B75,'RIS PLUS3.0'!B:B,1,FALSE())</f>
        <v>#N/A</v>
      </c>
      <c r="L75" s="13"/>
      <c r="M75" s="13"/>
      <c r="N75" s="13"/>
      <c r="O75" s="13"/>
      <c r="P75" s="13"/>
      <c r="Q75" s="13"/>
      <c r="R75" s="13"/>
      <c r="S75" s="13"/>
    </row>
    <row r="76" customFormat="false" ht="16.4" hidden="false" customHeight="false" outlineLevel="0" collapsed="false">
      <c r="A76" s="1" t="s">
        <v>135</v>
      </c>
      <c r="B76" s="2" t="s">
        <v>136</v>
      </c>
      <c r="C76" s="3" t="e">
        <f aca="false">VLOOKUP(B76,'RISCHIO PESO 3.0'!B:B,1,FALSE())</f>
        <v>#N/A</v>
      </c>
      <c r="D76" s="2" t="str">
        <f aca="false">VLOOKUP(B76,'RISCHIO T2D 3.0'!B:B,1,FALSE())</f>
        <v>rs10830963</v>
      </c>
      <c r="E76" s="2" t="e">
        <f aca="false">VLOOKUP(B76,'RISCHIO CARDIO 3.0'!B:B,1,FALSE())</f>
        <v>#N/A</v>
      </c>
      <c r="F76" s="2" t="e">
        <f aca="false">VLOOKUP(B76,'RISCHIO VITA 3.0'!C:C,1,FALSE())</f>
        <v>#N/A</v>
      </c>
      <c r="G76" s="2" t="e">
        <f aca="false">VLOOKUP(B76,'RISCHIO SPORT'!B:B,1,FALSE())</f>
        <v>#N/A</v>
      </c>
      <c r="H76" s="2" t="e">
        <f aca="false">VLOOKUP(B76,'RISCHIO AGING '!B:B,1,FALSE())</f>
        <v>#N/A</v>
      </c>
      <c r="I76" s="2" t="e">
        <f aca="false">VLOOKUP(B76,'RISCHIO MAMMA'!B:B,1,FALSE())</f>
        <v>#N/A</v>
      </c>
      <c r="J76" s="2" t="e">
        <f aca="false">VLOOKUP(B76,'RIS PLUS3.0'!B:B,1,FALSE())</f>
        <v>#N/A</v>
      </c>
      <c r="N76" s="2" t="s">
        <v>136</v>
      </c>
      <c r="O76" s="2" t="s">
        <v>136</v>
      </c>
    </row>
    <row r="77" customFormat="false" ht="16.4" hidden="false" customHeight="false" outlineLevel="0" collapsed="false">
      <c r="A77" s="1" t="s">
        <v>137</v>
      </c>
      <c r="B77" s="2" t="s">
        <v>138</v>
      </c>
      <c r="C77" s="3" t="e">
        <f aca="false">VLOOKUP(B77,'RISCHIO PESO 3.0'!B:B,1,FALSE())</f>
        <v>#N/A</v>
      </c>
      <c r="D77" s="2" t="e">
        <f aca="false">VLOOKUP(B77,'RISCHIO T2D 3.0'!B:B,1,FALSE())</f>
        <v>#N/A</v>
      </c>
      <c r="E77" s="2" t="e">
        <f aca="false">VLOOKUP(B77,'RISCHIO CARDIO 3.0'!B:B,1,FALSE())</f>
        <v>#N/A</v>
      </c>
      <c r="F77" s="2" t="e">
        <f aca="false">VLOOKUP(B77,'RISCHIO VITA 3.0'!C:C,1,FALSE())</f>
        <v>#N/A</v>
      </c>
      <c r="G77" s="2" t="str">
        <f aca="false">VLOOKUP(B77,'RISCHIO SPORT'!B:B,1,FALSE())</f>
        <v>rs591058</v>
      </c>
      <c r="H77" s="2" t="e">
        <f aca="false">VLOOKUP(B77,'RISCHIO AGING '!B:B,1,FALSE())</f>
        <v>#N/A</v>
      </c>
      <c r="I77" s="2" t="e">
        <f aca="false">VLOOKUP(B77,'RISCHIO MAMMA'!B:B,1,FALSE())</f>
        <v>#N/A</v>
      </c>
      <c r="J77" s="2" t="e">
        <f aca="false">VLOOKUP(B77,'RIS PLUS3.0'!B:B,1,FALSE())</f>
        <v>#N/A</v>
      </c>
      <c r="Q77" s="2" t="s">
        <v>138</v>
      </c>
    </row>
    <row r="78" customFormat="false" ht="16.4" hidden="false" customHeight="false" outlineLevel="0" collapsed="false">
      <c r="A78" s="1" t="s">
        <v>137</v>
      </c>
      <c r="B78" s="2" t="s">
        <v>139</v>
      </c>
      <c r="C78" s="3" t="e">
        <f aca="false">VLOOKUP(B78,'RISCHIO PESO 3.0'!B:B,1,FALSE())</f>
        <v>#N/A</v>
      </c>
      <c r="D78" s="2" t="e">
        <f aca="false">VLOOKUP(B78,'RISCHIO T2D 3.0'!B:B,1,FALSE())</f>
        <v>#N/A</v>
      </c>
      <c r="E78" s="2" t="e">
        <f aca="false">VLOOKUP(B78,'RISCHIO CARDIO 3.0'!B:B,1,FALSE())</f>
        <v>#N/A</v>
      </c>
      <c r="F78" s="2" t="e">
        <f aca="false">VLOOKUP(B78,'RISCHIO VITA 3.0'!C:C,1,FALSE())</f>
        <v>#N/A</v>
      </c>
      <c r="G78" s="2" t="str">
        <f aca="false">VLOOKUP(B78,'RISCHIO SPORT'!B:B,1,FALSE())</f>
        <v>rs679620</v>
      </c>
      <c r="H78" s="2" t="e">
        <f aca="false">VLOOKUP(B78,'RISCHIO AGING '!B:B,1,FALSE())</f>
        <v>#N/A</v>
      </c>
      <c r="I78" s="2" t="e">
        <f aca="false">VLOOKUP(B78,'RISCHIO MAMMA'!B:B,1,FALSE())</f>
        <v>#N/A</v>
      </c>
      <c r="J78" s="2" t="e">
        <f aca="false">VLOOKUP(B78,'RIS PLUS3.0'!B:B,1,FALSE())</f>
        <v>#N/A</v>
      </c>
      <c r="Q78" s="2" t="s">
        <v>139</v>
      </c>
    </row>
    <row r="79" customFormat="false" ht="16.4" hidden="false" customHeight="false" outlineLevel="0" collapsed="false">
      <c r="A79" s="1" t="s">
        <v>140</v>
      </c>
      <c r="B79" s="2" t="s">
        <v>141</v>
      </c>
      <c r="C79" s="3" t="e">
        <f aca="false">VLOOKUP(B79,'RISCHIO PESO 3.0'!B:B,1,FALSE())</f>
        <v>#N/A</v>
      </c>
      <c r="D79" s="2" t="e">
        <f aca="false">VLOOKUP(B79,'RISCHIO T2D 3.0'!B:B,1,FALSE())</f>
        <v>#N/A</v>
      </c>
      <c r="E79" s="2" t="e">
        <f aca="false">VLOOKUP(B79,'RISCHIO CARDIO 3.0'!B:B,1,FALSE())</f>
        <v>#N/A</v>
      </c>
      <c r="F79" s="2" t="e">
        <f aca="false">VLOOKUP(B79,'RISCHIO VITA 3.0'!C:C,1,FALSE())</f>
        <v>#N/A</v>
      </c>
      <c r="G79" s="2" t="e">
        <f aca="false">VLOOKUP(B79,'RISCHIO SPORT'!B:B,1,FALSE())</f>
        <v>#N/A</v>
      </c>
      <c r="H79" s="2" t="e">
        <f aca="false">VLOOKUP(B79,'RISCHIO AGING '!B:B,1,FALSE())</f>
        <v>#N/A</v>
      </c>
      <c r="I79" s="2" t="e">
        <f aca="false">VLOOKUP(B79,'RISCHIO MAMMA'!B:B,1,FALSE())</f>
        <v>#N/A</v>
      </c>
      <c r="J79" s="2" t="e">
        <f aca="false">VLOOKUP(B79,'RIS PLUS3.0'!B:B,1,FALSE())</f>
        <v>#N/A</v>
      </c>
      <c r="O79" s="2" t="s">
        <v>141</v>
      </c>
    </row>
    <row r="80" s="7" customFormat="true" ht="13.5" hidden="false" customHeight="true" outlineLevel="0" collapsed="false">
      <c r="A80" s="6" t="s">
        <v>142</v>
      </c>
      <c r="B80" s="7" t="s">
        <v>143</v>
      </c>
      <c r="C80" s="8" t="e">
        <f aca="false">VLOOKUP(B80,'RISCHIO PESO 3.0'!B:B,1,FALSE())</f>
        <v>#N/A</v>
      </c>
      <c r="D80" s="7" t="e">
        <f aca="false">VLOOKUP(B80,'RISCHIO T2D 3.0'!B:B,1,FALSE())</f>
        <v>#N/A</v>
      </c>
      <c r="E80" s="7" t="e">
        <f aca="false">VLOOKUP(B80,'RISCHIO CARDIO 3.0'!B:B,1,FALSE())</f>
        <v>#N/A</v>
      </c>
      <c r="F80" s="7" t="e">
        <f aca="false">VLOOKUP(B80,'RISCHIO VITA 3.0'!C:C,1,FALSE())</f>
        <v>#N/A</v>
      </c>
      <c r="G80" s="7" t="e">
        <f aca="false">VLOOKUP(B80,'RISCHIO SPORT'!B:B,1,FALSE())</f>
        <v>#N/A</v>
      </c>
      <c r="H80" s="7" t="e">
        <f aca="false">VLOOKUP(B80,'RISCHIO AGING '!B:B,1,FALSE())</f>
        <v>#N/A</v>
      </c>
      <c r="I80" s="7" t="str">
        <f aca="false">VLOOKUP(B80,'RISCHIO MAMMA'!B:B,1,FALSE())</f>
        <v>rs880054</v>
      </c>
      <c r="J80" s="7" t="e">
        <f aca="false">VLOOKUP(B80,'RIS PLUS3.0'!B:B,1,FALSE())</f>
        <v>#N/A</v>
      </c>
      <c r="L80" s="9"/>
      <c r="M80" s="9"/>
      <c r="N80" s="9"/>
      <c r="O80" s="9"/>
      <c r="P80" s="9"/>
      <c r="Q80" s="9"/>
      <c r="R80" s="9"/>
      <c r="S80" s="9"/>
    </row>
    <row r="81" s="7" customFormat="true" ht="15" hidden="false" customHeight="false" outlineLevel="0" collapsed="false">
      <c r="A81" s="6" t="s">
        <v>144</v>
      </c>
      <c r="B81" s="7" t="s">
        <v>145</v>
      </c>
      <c r="C81" s="17" t="e">
        <f aca="false">VLOOKUP(B81,'RISCHIO PESO 3.0'!B:B,1,FALSE())</f>
        <v>#N/A</v>
      </c>
      <c r="D81" s="7" t="e">
        <f aca="false">VLOOKUP(B81,'RISCHIO T2D 3.0'!B:B,1,FALSE())</f>
        <v>#N/A</v>
      </c>
      <c r="E81" s="7" t="e">
        <f aca="false">VLOOKUP(B81,'RISCHIO CARDIO 3.0'!B:B,1,FALSE())</f>
        <v>#N/A</v>
      </c>
      <c r="F81" s="7" t="e">
        <f aca="false">VLOOKUP(B81,'RISCHIO VITA 3.0'!C:C,1,FALSE())</f>
        <v>#N/A</v>
      </c>
      <c r="G81" s="7" t="e">
        <f aca="false">VLOOKUP(B81,'RISCHIO SPORT'!B:B,1,FALSE())</f>
        <v>#N/A</v>
      </c>
      <c r="H81" s="7" t="e">
        <f aca="false">VLOOKUP(B81,'RISCHIO AGING '!B:B,1,FALSE())</f>
        <v>#N/A</v>
      </c>
      <c r="I81" s="7" t="e">
        <f aca="false">VLOOKUP(B81,'RISCHIO MAMMA'!B:B,1,FALSE())</f>
        <v>#N/A</v>
      </c>
      <c r="J81" s="7" t="e">
        <f aca="false">VLOOKUP(B81,'RIS PLUS3.0'!B:B,1,FALSE())</f>
        <v>#N/A</v>
      </c>
    </row>
    <row r="82" customFormat="false" ht="16.4" hidden="false" customHeight="false" outlineLevel="0" collapsed="false">
      <c r="A82" s="1" t="s">
        <v>146</v>
      </c>
      <c r="B82" s="2" t="s">
        <v>147</v>
      </c>
      <c r="C82" s="3" t="e">
        <f aca="false">VLOOKUP(B82,'RISCHIO PESO 3.0'!B:B,1,FALSE())</f>
        <v>#N/A</v>
      </c>
      <c r="D82" s="2" t="e">
        <f aca="false">VLOOKUP(B82,'RISCHIO T2D 3.0'!B:B,1,FALSE())</f>
        <v>#N/A</v>
      </c>
      <c r="E82" s="2" t="e">
        <f aca="false">VLOOKUP(B82,'RISCHIO CARDIO 3.0'!B:B,1,FALSE())</f>
        <v>#N/A</v>
      </c>
      <c r="F82" s="2" t="e">
        <f aca="false">VLOOKUP(B82,'RISCHIO VITA 3.0'!C:C,1,FALSE())</f>
        <v>#N/A</v>
      </c>
      <c r="G82" s="2" t="e">
        <f aca="false">VLOOKUP(B82,'RISCHIO SPORT'!B:B,1,FALSE())</f>
        <v>#N/A</v>
      </c>
      <c r="H82" s="2" t="e">
        <f aca="false">VLOOKUP(B82,'RISCHIO AGING '!B:B,1,FALSE())</f>
        <v>#N/A</v>
      </c>
      <c r="I82" s="2" t="e">
        <f aca="false">VLOOKUP(B82,'RISCHIO MAMMA'!B:B,1,FALSE())</f>
        <v>#N/A</v>
      </c>
      <c r="J82" s="2" t="e">
        <f aca="false">VLOOKUP(B82,'RIS PLUS3.0'!B:B,1,FALSE())</f>
        <v>#N/A</v>
      </c>
      <c r="L82" s="2" t="s">
        <v>147</v>
      </c>
    </row>
    <row r="83" s="7" customFormat="true" ht="15" hidden="false" customHeight="false" outlineLevel="0" collapsed="false">
      <c r="A83" s="6" t="s">
        <v>148</v>
      </c>
      <c r="B83" s="7" t="s">
        <v>149</v>
      </c>
      <c r="C83" s="8" t="e">
        <f aca="false">VLOOKUP(B83,'RISCHIO PESO 3.0'!B:B,1,FALSE())</f>
        <v>#N/A</v>
      </c>
      <c r="D83" s="7" t="e">
        <f aca="false">VLOOKUP(B83,'RISCHIO T2D 3.0'!B:B,1,FALSE())</f>
        <v>#N/A</v>
      </c>
      <c r="E83" s="7" t="e">
        <f aca="false">VLOOKUP(B83,'RISCHIO CARDIO 3.0'!B:B,1,FALSE())</f>
        <v>#N/A</v>
      </c>
      <c r="F83" s="7" t="str">
        <f aca="false">VLOOKUP(B83,'RISCHIO VITA 3.0'!C:C,1,FALSE())</f>
        <v>rs2236225</v>
      </c>
      <c r="G83" s="7" t="e">
        <f aca="false">VLOOKUP(B83,'RISCHIO SPORT'!B:B,1,FALSE())</f>
        <v>#N/A</v>
      </c>
      <c r="H83" s="7" t="e">
        <f aca="false">VLOOKUP(B83,'RISCHIO AGING '!B:B,1,FALSE())</f>
        <v>#N/A</v>
      </c>
      <c r="I83" s="7" t="e">
        <f aca="false">VLOOKUP(B83,'RISCHIO MAMMA'!B:B,1,FALSE())</f>
        <v>#N/A</v>
      </c>
      <c r="J83" s="7" t="e">
        <f aca="false">VLOOKUP(B83,'RIS PLUS3.0'!B:B,1,FALSE())</f>
        <v>#N/A</v>
      </c>
      <c r="L83" s="9"/>
      <c r="M83" s="9"/>
      <c r="N83" s="9"/>
      <c r="O83" s="9"/>
      <c r="P83" s="9"/>
      <c r="Q83" s="9"/>
      <c r="R83" s="9"/>
      <c r="S83" s="9"/>
    </row>
    <row r="84" customFormat="false" ht="16.4" hidden="false" customHeight="false" outlineLevel="0" collapsed="false">
      <c r="A84" s="1" t="s">
        <v>150</v>
      </c>
      <c r="B84" s="2" t="s">
        <v>151</v>
      </c>
      <c r="C84" s="3" t="e">
        <f aca="false">VLOOKUP(B84,'RISCHIO PESO 3.0'!B:B,1,FALSE())</f>
        <v>#N/A</v>
      </c>
      <c r="D84" s="2" t="e">
        <f aca="false">VLOOKUP(B84,'RISCHIO T2D 3.0'!B:B,1,FALSE())</f>
        <v>#N/A</v>
      </c>
      <c r="E84" s="2" t="e">
        <f aca="false">VLOOKUP(B84,'RISCHIO CARDIO 3.0'!B:B,1,FALSE())</f>
        <v>#N/A</v>
      </c>
      <c r="F84" s="2" t="e">
        <f aca="false">VLOOKUP(B84,'RISCHIO VITA 3.0'!C:C,1,FALSE())</f>
        <v>#N/A</v>
      </c>
      <c r="G84" s="2" t="e">
        <f aca="false">VLOOKUP(B84,'RISCHIO SPORT'!B:B,1,FALSE())</f>
        <v>#N/A</v>
      </c>
      <c r="H84" s="2" t="e">
        <f aca="false">VLOOKUP(B84,'RISCHIO AGING '!B:B,1,FALSE())</f>
        <v>#N/A</v>
      </c>
      <c r="I84" s="2" t="e">
        <f aca="false">VLOOKUP(B84,'RISCHIO MAMMA'!B:B,1,FALSE())</f>
        <v>#N/A</v>
      </c>
      <c r="J84" s="2" t="e">
        <f aca="false">VLOOKUP(B84,'RIS PLUS3.0'!B:B,1,FALSE())</f>
        <v>#N/A</v>
      </c>
      <c r="L84" s="2" t="s">
        <v>151</v>
      </c>
    </row>
    <row r="85" customFormat="false" ht="16.4" hidden="false" customHeight="false" outlineLevel="0" collapsed="false">
      <c r="A85" s="1" t="s">
        <v>152</v>
      </c>
      <c r="B85" s="2" t="s">
        <v>153</v>
      </c>
      <c r="C85" s="3" t="e">
        <f aca="false">VLOOKUP(B85,'RISCHIO PESO 3.0'!B:B,1,FALSE())</f>
        <v>#N/A</v>
      </c>
      <c r="D85" s="2" t="e">
        <f aca="false">VLOOKUP(B85,'RISCHIO T2D 3.0'!B:B,1,FALSE())</f>
        <v>#N/A</v>
      </c>
      <c r="E85" s="2" t="e">
        <f aca="false">VLOOKUP(B85,'RISCHIO CARDIO 3.0'!B:B,1,FALSE())</f>
        <v>#N/A</v>
      </c>
      <c r="F85" s="2" t="e">
        <f aca="false">VLOOKUP(B85,'RISCHIO VITA 3.0'!C:C,1,FALSE())</f>
        <v>#N/A</v>
      </c>
      <c r="G85" s="2" t="e">
        <f aca="false">VLOOKUP(B85,'RISCHIO SPORT'!B:B,1,FALSE())</f>
        <v>#N/A</v>
      </c>
      <c r="H85" s="2" t="e">
        <f aca="false">VLOOKUP(B85,'RISCHIO AGING '!B:B,1,FALSE())</f>
        <v>#N/A</v>
      </c>
      <c r="I85" s="2" t="str">
        <f aca="false">VLOOKUP(B85,'RISCHIO MAMMA'!B:B,1,FALSE())</f>
        <v>rs2120019</v>
      </c>
      <c r="J85" s="2" t="e">
        <f aca="false">VLOOKUP(B85,'RIS PLUS3.0'!B:B,1,FALSE())</f>
        <v>#N/A</v>
      </c>
      <c r="S85" s="2" t="s">
        <v>153</v>
      </c>
    </row>
    <row r="86" customFormat="false" ht="16.4" hidden="false" customHeight="false" outlineLevel="0" collapsed="false">
      <c r="A86" s="1" t="s">
        <v>154</v>
      </c>
      <c r="B86" s="2" t="s">
        <v>155</v>
      </c>
      <c r="C86" s="3" t="str">
        <f aca="false">VLOOKUP(B86,'RISCHIO PESO 3.0'!B:B,1,FALSE())</f>
        <v>rs1421085</v>
      </c>
      <c r="D86" s="2" t="str">
        <f aca="false">VLOOKUP(B86,'RISCHIO T2D 3.0'!B:B,1,FALSE())</f>
        <v>rs1421085</v>
      </c>
      <c r="E86" s="2" t="e">
        <f aca="false">VLOOKUP(B86,'RISCHIO CARDIO 3.0'!B:B,1,FALSE())</f>
        <v>#N/A</v>
      </c>
      <c r="F86" s="2" t="e">
        <f aca="false">VLOOKUP(B86,'RISCHIO VITA 3.0'!C:C,1,FALSE())</f>
        <v>#N/A</v>
      </c>
      <c r="G86" s="2" t="e">
        <f aca="false">VLOOKUP(B86,'RISCHIO SPORT'!B:B,1,FALSE())</f>
        <v>#N/A</v>
      </c>
      <c r="H86" s="2" t="e">
        <f aca="false">VLOOKUP(B86,'RISCHIO AGING '!B:B,1,FALSE())</f>
        <v>#N/A</v>
      </c>
      <c r="I86" s="2" t="e">
        <f aca="false">VLOOKUP(B86,'RISCHIO MAMMA'!B:B,1,FALSE())</f>
        <v>#N/A</v>
      </c>
      <c r="J86" s="2" t="e">
        <f aca="false">VLOOKUP(B86,'RIS PLUS3.0'!B:B,1,FALSE())</f>
        <v>#N/A</v>
      </c>
      <c r="M86" s="2" t="s">
        <v>155</v>
      </c>
      <c r="N86" s="2" t="s">
        <v>155</v>
      </c>
      <c r="O86" s="2" t="s">
        <v>155</v>
      </c>
    </row>
    <row r="87" customFormat="false" ht="16.4" hidden="false" customHeight="false" outlineLevel="0" collapsed="false">
      <c r="A87" s="1" t="s">
        <v>154</v>
      </c>
      <c r="B87" s="2" t="s">
        <v>156</v>
      </c>
      <c r="C87" s="3" t="str">
        <f aca="false">VLOOKUP(B87,'RISCHIO PESO 3.0'!B:B,1,FALSE())</f>
        <v>rs1558902</v>
      </c>
      <c r="D87" s="2" t="e">
        <f aca="false">VLOOKUP(B87,'RISCHIO T2D 3.0'!B:B,1,FALSE())</f>
        <v>#N/A</v>
      </c>
      <c r="E87" s="2" t="e">
        <f aca="false">VLOOKUP(B87,'RISCHIO CARDIO 3.0'!B:B,1,FALSE())</f>
        <v>#N/A</v>
      </c>
      <c r="F87" s="2" t="e">
        <f aca="false">VLOOKUP(B87,'RISCHIO VITA 3.0'!C:C,1,FALSE())</f>
        <v>#N/A</v>
      </c>
      <c r="G87" s="2" t="e">
        <f aca="false">VLOOKUP(B87,'RISCHIO SPORT'!B:B,1,FALSE())</f>
        <v>#N/A</v>
      </c>
      <c r="H87" s="2" t="e">
        <f aca="false">VLOOKUP(B87,'RISCHIO AGING '!B:B,1,FALSE())</f>
        <v>#N/A</v>
      </c>
      <c r="I87" s="2" t="e">
        <f aca="false">VLOOKUP(B87,'RISCHIO MAMMA'!B:B,1,FALSE())</f>
        <v>#N/A</v>
      </c>
      <c r="J87" s="2" t="e">
        <f aca="false">VLOOKUP(B87,'RIS PLUS3.0'!B:B,1,FALSE())</f>
        <v>#N/A</v>
      </c>
      <c r="M87" s="2" t="s">
        <v>156</v>
      </c>
    </row>
    <row r="88" customFormat="false" ht="16.4" hidden="false" customHeight="false" outlineLevel="0" collapsed="false">
      <c r="A88" s="1" t="s">
        <v>154</v>
      </c>
      <c r="B88" s="2" t="s">
        <v>157</v>
      </c>
      <c r="C88" s="3" t="str">
        <f aca="false">VLOOKUP(B88,'RISCHIO PESO 3.0'!B:B,1,FALSE())</f>
        <v>rs1121980</v>
      </c>
      <c r="D88" s="2" t="e">
        <f aca="false">VLOOKUP(B88,'RISCHIO T2D 3.0'!B:B,1,FALSE())</f>
        <v>#N/A</v>
      </c>
      <c r="E88" s="2" t="e">
        <f aca="false">VLOOKUP(B88,'RISCHIO CARDIO 3.0'!B:B,1,FALSE())</f>
        <v>#N/A</v>
      </c>
      <c r="F88" s="2" t="e">
        <f aca="false">VLOOKUP(B88,'RISCHIO VITA 3.0'!C:C,1,FALSE())</f>
        <v>#N/A</v>
      </c>
      <c r="G88" s="2" t="e">
        <f aca="false">VLOOKUP(B88,'RISCHIO SPORT'!B:B,1,FALSE())</f>
        <v>#N/A</v>
      </c>
      <c r="H88" s="2" t="e">
        <f aca="false">VLOOKUP(B88,'RISCHIO AGING '!B:B,1,FALSE())</f>
        <v>#N/A</v>
      </c>
      <c r="I88" s="2" t="e">
        <f aca="false">VLOOKUP(B88,'RISCHIO MAMMA'!B:B,1,FALSE())</f>
        <v>#N/A</v>
      </c>
      <c r="J88" s="2" t="e">
        <f aca="false">VLOOKUP(B88,'RIS PLUS3.0'!B:B,1,FALSE())</f>
        <v>#N/A</v>
      </c>
      <c r="M88" s="2" t="s">
        <v>157</v>
      </c>
    </row>
    <row r="89" customFormat="false" ht="16.4" hidden="false" customHeight="false" outlineLevel="0" collapsed="false">
      <c r="A89" s="1" t="s">
        <v>154</v>
      </c>
      <c r="B89" s="2" t="s">
        <v>158</v>
      </c>
      <c r="C89" s="3" t="str">
        <f aca="false">VLOOKUP(B89,'RISCHIO PESO 3.0'!B:B,1,FALSE())</f>
        <v>rs8050136</v>
      </c>
      <c r="D89" s="2" t="str">
        <f aca="false">VLOOKUP(B89,'RISCHIO T2D 3.0'!B:B,1,FALSE())</f>
        <v>rs8050136</v>
      </c>
      <c r="E89" s="2" t="e">
        <f aca="false">VLOOKUP(B89,'RISCHIO CARDIO 3.0'!B:B,1,FALSE())</f>
        <v>#N/A</v>
      </c>
      <c r="F89" s="2" t="e">
        <f aca="false">VLOOKUP(B89,'RISCHIO VITA 3.0'!C:C,1,FALSE())</f>
        <v>#N/A</v>
      </c>
      <c r="G89" s="2" t="e">
        <f aca="false">VLOOKUP(B89,'RISCHIO SPORT'!B:B,1,FALSE())</f>
        <v>#N/A</v>
      </c>
      <c r="H89" s="2" t="e">
        <f aca="false">VLOOKUP(B89,'RISCHIO AGING '!B:B,1,FALSE())</f>
        <v>#N/A</v>
      </c>
      <c r="I89" s="2" t="e">
        <f aca="false">VLOOKUP(B89,'RISCHIO MAMMA'!B:B,1,FALSE())</f>
        <v>#N/A</v>
      </c>
      <c r="J89" s="2" t="e">
        <f aca="false">VLOOKUP(B89,'RIS PLUS3.0'!B:B,1,FALSE())</f>
        <v>#N/A</v>
      </c>
      <c r="M89" s="2" t="s">
        <v>158</v>
      </c>
      <c r="N89" s="2" t="s">
        <v>158</v>
      </c>
    </row>
    <row r="90" customFormat="false" ht="16.4" hidden="false" customHeight="false" outlineLevel="0" collapsed="false">
      <c r="A90" s="1" t="s">
        <v>154</v>
      </c>
      <c r="B90" s="2" t="s">
        <v>159</v>
      </c>
      <c r="C90" s="3" t="str">
        <f aca="false">VLOOKUP(B90,'RISCHIO PESO 3.0'!B:B,1,FALSE())</f>
        <v>rs9939609</v>
      </c>
      <c r="D90" s="2" t="str">
        <f aca="false">VLOOKUP(B90,'RISCHIO T2D 3.0'!B:B,1,FALSE())</f>
        <v>rs9939609</v>
      </c>
      <c r="E90" s="2" t="e">
        <f aca="false">VLOOKUP(B90,'RISCHIO CARDIO 3.0'!B:B,1,FALSE())</f>
        <v>#N/A</v>
      </c>
      <c r="F90" s="2" t="e">
        <f aca="false">VLOOKUP(B90,'RISCHIO VITA 3.0'!C:C,1,FALSE())</f>
        <v>#N/A</v>
      </c>
      <c r="G90" s="2" t="e">
        <f aca="false">VLOOKUP(B90,'RISCHIO SPORT'!B:B,1,FALSE())</f>
        <v>#N/A</v>
      </c>
      <c r="H90" s="2" t="e">
        <f aca="false">VLOOKUP(B90,'RISCHIO AGING '!B:B,1,FALSE())</f>
        <v>#N/A</v>
      </c>
      <c r="I90" s="2" t="e">
        <f aca="false">VLOOKUP(B90,'RISCHIO MAMMA'!B:B,1,FALSE())</f>
        <v>#N/A</v>
      </c>
      <c r="J90" s="2" t="e">
        <f aca="false">VLOOKUP(B90,'RIS PLUS3.0'!B:B,1,FALSE())</f>
        <v>#N/A</v>
      </c>
      <c r="M90" s="2" t="s">
        <v>159</v>
      </c>
      <c r="N90" s="2" t="s">
        <v>159</v>
      </c>
      <c r="O90" s="2" t="s">
        <v>159</v>
      </c>
    </row>
    <row r="91" customFormat="false" ht="16.4" hidden="false" customHeight="false" outlineLevel="0" collapsed="false">
      <c r="A91" s="1" t="s">
        <v>160</v>
      </c>
      <c r="B91" s="2" t="s">
        <v>161</v>
      </c>
      <c r="C91" s="3" t="e">
        <f aca="false">VLOOKUP(B91,'RISCHIO PESO 3.0'!B:B,1,FALSE())</f>
        <v>#N/A</v>
      </c>
      <c r="D91" s="2" t="e">
        <f aca="false">VLOOKUP(B91,'RISCHIO T2D 3.0'!B:B,1,FALSE())</f>
        <v>#N/A</v>
      </c>
      <c r="E91" s="2" t="e">
        <f aca="false">VLOOKUP(B91,'RISCHIO CARDIO 3.0'!B:B,1,FALSE())</f>
        <v>#N/A</v>
      </c>
      <c r="F91" s="2" t="e">
        <f aca="false">VLOOKUP(B91,'RISCHIO VITA 3.0'!C:C,1,FALSE())</f>
        <v>#N/A</v>
      </c>
      <c r="G91" s="2" t="e">
        <f aca="false">VLOOKUP(B91,'RISCHIO SPORT'!B:B,1,FALSE())</f>
        <v>#N/A</v>
      </c>
      <c r="H91" s="2" t="e">
        <f aca="false">VLOOKUP(B91,'RISCHIO AGING '!B:B,1,FALSE())</f>
        <v>#N/A</v>
      </c>
      <c r="I91" s="2" t="e">
        <f aca="false">VLOOKUP(B91,'RISCHIO MAMMA'!B:B,1,FALSE())</f>
        <v>#N/A</v>
      </c>
      <c r="J91" s="2" t="e">
        <f aca="false">VLOOKUP(B91,'RIS PLUS3.0'!B:B,1,FALSE())</f>
        <v>#N/A</v>
      </c>
      <c r="O91" s="2" t="s">
        <v>161</v>
      </c>
    </row>
    <row r="92" customFormat="false" ht="16.4" hidden="false" customHeight="false" outlineLevel="0" collapsed="false">
      <c r="A92" s="1" t="s">
        <v>162</v>
      </c>
      <c r="B92" s="2" t="s">
        <v>163</v>
      </c>
      <c r="C92" s="3" t="e">
        <f aca="false">VLOOKUP(B92,'RISCHIO PESO 3.0'!B:B,1,FALSE())</f>
        <v>#N/A</v>
      </c>
      <c r="D92" s="2" t="e">
        <f aca="false">VLOOKUP(B92,'RISCHIO T2D 3.0'!B:B,1,FALSE())</f>
        <v>#N/A</v>
      </c>
      <c r="E92" s="2" t="e">
        <f aca="false">VLOOKUP(B92,'RISCHIO CARDIO 3.0'!B:B,1,FALSE())</f>
        <v>#N/A</v>
      </c>
      <c r="F92" s="2" t="e">
        <f aca="false">VLOOKUP(B92,'RISCHIO VITA 3.0'!C:C,1,FALSE())</f>
        <v>#N/A</v>
      </c>
      <c r="G92" s="2" t="e">
        <f aca="false">VLOOKUP(B92,'RISCHIO SPORT'!B:B,1,FALSE())</f>
        <v>#N/A</v>
      </c>
      <c r="H92" s="2" t="e">
        <f aca="false">VLOOKUP(B92,'RISCHIO AGING '!B:B,1,FALSE())</f>
        <v>#N/A</v>
      </c>
      <c r="I92" s="2" t="e">
        <f aca="false">VLOOKUP(B92,'RISCHIO MAMMA'!B:B,1,FALSE())</f>
        <v>#N/A</v>
      </c>
      <c r="J92" s="2" t="e">
        <f aca="false">VLOOKUP(B92,'RIS PLUS3.0'!B:B,1,FALSE())</f>
        <v>#N/A</v>
      </c>
      <c r="O92" s="2" t="s">
        <v>163</v>
      </c>
    </row>
    <row r="93" customFormat="false" ht="16.4" hidden="false" customHeight="false" outlineLevel="0" collapsed="false">
      <c r="A93" s="1" t="s">
        <v>164</v>
      </c>
      <c r="B93" s="2" t="s">
        <v>165</v>
      </c>
      <c r="C93" s="3" t="e">
        <f aca="false">VLOOKUP(B93,'RISCHIO PESO 3.0'!B:B,1,FALSE())</f>
        <v>#N/A</v>
      </c>
      <c r="D93" s="2" t="e">
        <f aca="false">VLOOKUP(B93,'RISCHIO T2D 3.0'!B:B,1,FALSE())</f>
        <v>#N/A</v>
      </c>
      <c r="E93" s="2" t="e">
        <f aca="false">VLOOKUP(B93,'RISCHIO CARDIO 3.0'!B:B,1,FALSE())</f>
        <v>#N/A</v>
      </c>
      <c r="F93" s="2" t="e">
        <f aca="false">VLOOKUP(B93,'RISCHIO VITA 3.0'!C:C,1,FALSE())</f>
        <v>#N/A</v>
      </c>
      <c r="G93" s="2" t="e">
        <f aca="false">VLOOKUP(B93,'RISCHIO SPORT'!B:B,1,FALSE())</f>
        <v>#N/A</v>
      </c>
      <c r="H93" s="2" t="str">
        <f aca="false">VLOOKUP(B93,'RISCHIO AGING '!B:B,1,FALSE())</f>
        <v>rs1800566</v>
      </c>
      <c r="I93" s="2" t="e">
        <f aca="false">VLOOKUP(B93,'RISCHIO MAMMA'!B:B,1,FALSE())</f>
        <v>#N/A</v>
      </c>
      <c r="J93" s="2" t="e">
        <f aca="false">VLOOKUP(B93,'RIS PLUS3.0'!B:B,1,FALSE())</f>
        <v>#N/A</v>
      </c>
      <c r="R93" s="2" t="s">
        <v>165</v>
      </c>
    </row>
    <row r="94" s="7" customFormat="true" ht="15" hidden="false" customHeight="false" outlineLevel="0" collapsed="false">
      <c r="A94" s="6" t="s">
        <v>166</v>
      </c>
      <c r="B94" s="7" t="s">
        <v>167</v>
      </c>
      <c r="C94" s="8" t="e">
        <f aca="false">VLOOKUP(B94,'RISCHIO PESO 3.0'!B:B,1,FALSE())</f>
        <v>#N/A</v>
      </c>
      <c r="D94" s="7" t="e">
        <f aca="false">VLOOKUP(B94,'RISCHIO T2D 3.0'!B:B,1,FALSE())</f>
        <v>#N/A</v>
      </c>
      <c r="E94" s="7" t="e">
        <f aca="false">VLOOKUP(B94,'RISCHIO CARDIO 3.0'!B:B,1,FALSE())</f>
        <v>#N/A</v>
      </c>
      <c r="F94" s="7" t="str">
        <f aca="false">VLOOKUP(B94,'RISCHIO VITA 3.0'!C:C,1,FALSE())</f>
        <v>rs12934922</v>
      </c>
      <c r="G94" s="7" t="e">
        <f aca="false">VLOOKUP(B94,'RISCHIO SPORT'!B:B,1,FALSE())</f>
        <v>#N/A</v>
      </c>
      <c r="H94" s="7" t="e">
        <f aca="false">VLOOKUP(B94,'RISCHIO AGING '!B:B,1,FALSE())</f>
        <v>#N/A</v>
      </c>
      <c r="I94" s="7" t="e">
        <f aca="false">VLOOKUP(B94,'RISCHIO MAMMA'!B:B,1,FALSE())</f>
        <v>#N/A</v>
      </c>
      <c r="J94" s="7" t="e">
        <f aca="false">VLOOKUP(B94,'RIS PLUS3.0'!B:B,1,FALSE())</f>
        <v>#N/A</v>
      </c>
      <c r="L94" s="9"/>
      <c r="M94" s="9"/>
      <c r="N94" s="9"/>
      <c r="O94" s="9"/>
      <c r="P94" s="9"/>
      <c r="Q94" s="9"/>
      <c r="R94" s="9"/>
      <c r="S94" s="9"/>
    </row>
    <row r="95" s="7" customFormat="true" ht="15" hidden="false" customHeight="false" outlineLevel="0" collapsed="false">
      <c r="A95" s="6" t="s">
        <v>166</v>
      </c>
      <c r="B95" s="7" t="s">
        <v>168</v>
      </c>
      <c r="C95" s="8" t="e">
        <f aca="false">VLOOKUP(B95,'RISCHIO PESO 3.0'!B:B,1,FALSE())</f>
        <v>#N/A</v>
      </c>
      <c r="D95" s="7" t="e">
        <f aca="false">VLOOKUP(B95,'RISCHIO T2D 3.0'!B:B,1,FALSE())</f>
        <v>#N/A</v>
      </c>
      <c r="E95" s="7" t="e">
        <f aca="false">VLOOKUP(B95,'RISCHIO CARDIO 3.0'!B:B,1,FALSE())</f>
        <v>#N/A</v>
      </c>
      <c r="F95" s="7" t="str">
        <f aca="false">VLOOKUP(B95,'RISCHIO VITA 3.0'!C:C,1,FALSE())</f>
        <v>rs7501331</v>
      </c>
      <c r="G95" s="7" t="e">
        <f aca="false">VLOOKUP(B95,'RISCHIO SPORT'!B:B,1,FALSE())</f>
        <v>#N/A</v>
      </c>
      <c r="H95" s="7" t="e">
        <f aca="false">VLOOKUP(B95,'RISCHIO AGING '!B:B,1,FALSE())</f>
        <v>#N/A</v>
      </c>
      <c r="I95" s="7" t="e">
        <f aca="false">VLOOKUP(B95,'RISCHIO MAMMA'!B:B,1,FALSE())</f>
        <v>#N/A</v>
      </c>
      <c r="J95" s="7" t="e">
        <f aca="false">VLOOKUP(B95,'RIS PLUS3.0'!B:B,1,FALSE())</f>
        <v>#N/A</v>
      </c>
      <c r="L95" s="9"/>
      <c r="M95" s="9"/>
      <c r="N95" s="9"/>
      <c r="O95" s="9"/>
      <c r="P95" s="9"/>
      <c r="Q95" s="9"/>
      <c r="R95" s="9"/>
      <c r="S95" s="9"/>
    </row>
    <row r="96" customFormat="false" ht="16.4" hidden="false" customHeight="false" outlineLevel="0" collapsed="false">
      <c r="A96" s="1" t="s">
        <v>169</v>
      </c>
      <c r="B96" s="2" t="s">
        <v>170</v>
      </c>
      <c r="C96" s="3" t="e">
        <f aca="false">VLOOKUP(B96,'RISCHIO PESO 3.0'!B:B,1,FALSE())</f>
        <v>#N/A</v>
      </c>
      <c r="D96" s="2" t="e">
        <f aca="false">VLOOKUP(B96,'RISCHIO T2D 3.0'!B:B,1,FALSE())</f>
        <v>#N/A</v>
      </c>
      <c r="E96" s="2" t="e">
        <f aca="false">VLOOKUP(B96,'RISCHIO CARDIO 3.0'!B:B,1,FALSE())</f>
        <v>#N/A</v>
      </c>
      <c r="F96" s="2" t="e">
        <f aca="false">VLOOKUP(B96,'RISCHIO VITA 3.0'!C:C,1,FALSE())</f>
        <v>#N/A</v>
      </c>
      <c r="G96" s="2" t="str">
        <f aca="false">VLOOKUP(B96,'RISCHIO SPORT'!B:B,1,FALSE())</f>
        <v>rs1800012</v>
      </c>
      <c r="H96" s="2" t="e">
        <f aca="false">VLOOKUP(B96,'RISCHIO AGING '!B:B,1,FALSE())</f>
        <v>#N/A</v>
      </c>
      <c r="I96" s="2" t="e">
        <f aca="false">VLOOKUP(B96,'RISCHIO MAMMA'!B:B,1,FALSE())</f>
        <v>#N/A</v>
      </c>
      <c r="J96" s="2" t="e">
        <f aca="false">VLOOKUP(B96,'RIS PLUS3.0'!B:B,1,FALSE())</f>
        <v>#N/A</v>
      </c>
      <c r="Q96" s="2" t="s">
        <v>170</v>
      </c>
    </row>
    <row r="97" customFormat="false" ht="16.4" hidden="false" customHeight="false" outlineLevel="0" collapsed="false">
      <c r="A97" s="1" t="s">
        <v>171</v>
      </c>
      <c r="B97" s="2" t="s">
        <v>172</v>
      </c>
      <c r="C97" s="3" t="e">
        <f aca="false">VLOOKUP(B97,'RISCHIO PESO 3.0'!B:B,1,FALSE())</f>
        <v>#N/A</v>
      </c>
      <c r="D97" s="2" t="e">
        <f aca="false">VLOOKUP(B97,'RISCHIO T2D 3.0'!B:B,1,FALSE())</f>
        <v>#N/A</v>
      </c>
      <c r="E97" s="2" t="e">
        <f aca="false">VLOOKUP(B97,'RISCHIO CARDIO 3.0'!B:B,1,FALSE())</f>
        <v>#N/A</v>
      </c>
      <c r="F97" s="2" t="e">
        <f aca="false">VLOOKUP(B97,'RISCHIO VITA 3.0'!C:C,1,FALSE())</f>
        <v>#N/A</v>
      </c>
      <c r="G97" s="2" t="e">
        <f aca="false">VLOOKUP(B97,'RISCHIO SPORT'!B:B,1,FALSE())</f>
        <v>#N/A</v>
      </c>
      <c r="H97" s="2" t="e">
        <f aca="false">VLOOKUP(B97,'RISCHIO AGING '!B:B,1,FALSE())</f>
        <v>#N/A</v>
      </c>
      <c r="I97" s="2" t="str">
        <f aca="false">VLOOKUP(B97,'RISCHIO MAMMA'!B:B,1,FALSE())</f>
        <v>rs4149601</v>
      </c>
      <c r="J97" s="2" t="e">
        <f aca="false">VLOOKUP(B97,'RIS PLUS3.0'!B:B,1,FALSE())</f>
        <v>#N/A</v>
      </c>
      <c r="S97" s="2" t="s">
        <v>172</v>
      </c>
    </row>
    <row r="98" customFormat="false" ht="16.4" hidden="false" customHeight="false" outlineLevel="0" collapsed="false">
      <c r="A98" s="1" t="s">
        <v>171</v>
      </c>
      <c r="B98" s="2" t="s">
        <v>173</v>
      </c>
      <c r="C98" s="3" t="e">
        <f aca="false">VLOOKUP(B98,'RISCHIO PESO 3.0'!B:B,1,FALSE())</f>
        <v>#N/A</v>
      </c>
      <c r="D98" s="2" t="e">
        <f aca="false">VLOOKUP(B98,'RISCHIO T2D 3.0'!B:B,1,FALSE())</f>
        <v>#N/A</v>
      </c>
      <c r="E98" s="2" t="e">
        <f aca="false">VLOOKUP(B98,'RISCHIO CARDIO 3.0'!B:B,1,FALSE())</f>
        <v>#N/A</v>
      </c>
      <c r="F98" s="2" t="e">
        <f aca="false">VLOOKUP(B98,'RISCHIO VITA 3.0'!C:C,1,FALSE())</f>
        <v>#N/A</v>
      </c>
      <c r="G98" s="2" t="e">
        <f aca="false">VLOOKUP(B98,'RISCHIO SPORT'!B:B,1,FALSE())</f>
        <v>#N/A</v>
      </c>
      <c r="H98" s="2" t="e">
        <f aca="false">VLOOKUP(B98,'RISCHIO AGING '!B:B,1,FALSE())</f>
        <v>#N/A</v>
      </c>
      <c r="I98" s="2" t="str">
        <f aca="false">VLOOKUP(B98,'RISCHIO MAMMA'!B:B,1,FALSE())</f>
        <v>rs2288774</v>
      </c>
      <c r="J98" s="2" t="e">
        <f aca="false">VLOOKUP(B98,'RIS PLUS3.0'!B:B,1,FALSE())</f>
        <v>#N/A</v>
      </c>
      <c r="S98" s="2" t="s">
        <v>173</v>
      </c>
    </row>
    <row r="99" customFormat="false" ht="16.4" hidden="false" customHeight="false" outlineLevel="0" collapsed="false">
      <c r="A99" s="1" t="s">
        <v>174</v>
      </c>
      <c r="B99" s="2" t="s">
        <v>175</v>
      </c>
      <c r="C99" s="3" t="str">
        <f aca="false">VLOOKUP(B99,'RISCHIO PESO 3.0'!B:B,1,FALSE())</f>
        <v>rs17700144</v>
      </c>
      <c r="D99" s="2" t="e">
        <f aca="false">VLOOKUP(B99,'RISCHIO T2D 3.0'!B:B,1,FALSE())</f>
        <v>#N/A</v>
      </c>
      <c r="E99" s="2" t="e">
        <f aca="false">VLOOKUP(B99,'RISCHIO CARDIO 3.0'!B:B,1,FALSE())</f>
        <v>#N/A</v>
      </c>
      <c r="F99" s="2" t="e">
        <f aca="false">VLOOKUP(B99,'RISCHIO VITA 3.0'!C:C,1,FALSE())</f>
        <v>#N/A</v>
      </c>
      <c r="G99" s="2" t="e">
        <f aca="false">VLOOKUP(B99,'RISCHIO SPORT'!B:B,1,FALSE())</f>
        <v>#N/A</v>
      </c>
      <c r="H99" s="2" t="e">
        <f aca="false">VLOOKUP(B99,'RISCHIO AGING '!B:B,1,FALSE())</f>
        <v>#N/A</v>
      </c>
      <c r="I99" s="2" t="e">
        <f aca="false">VLOOKUP(B99,'RISCHIO MAMMA'!B:B,1,FALSE())</f>
        <v>#N/A</v>
      </c>
      <c r="J99" s="2" t="e">
        <f aca="false">VLOOKUP(B99,'RIS PLUS3.0'!B:B,1,FALSE())</f>
        <v>#N/A</v>
      </c>
      <c r="M99" s="2" t="s">
        <v>175</v>
      </c>
    </row>
    <row r="100" customFormat="false" ht="16.4" hidden="false" customHeight="false" outlineLevel="0" collapsed="false">
      <c r="A100" s="1" t="s">
        <v>174</v>
      </c>
      <c r="B100" s="2" t="s">
        <v>176</v>
      </c>
      <c r="C100" s="3" t="str">
        <f aca="false">VLOOKUP(B100,'RISCHIO PESO 3.0'!B:B,1,FALSE())</f>
        <v>rs17782313</v>
      </c>
      <c r="D100" s="2" t="e">
        <f aca="false">VLOOKUP(B100,'RISCHIO T2D 3.0'!B:B,1,FALSE())</f>
        <v>#N/A</v>
      </c>
      <c r="E100" s="2" t="e">
        <f aca="false">VLOOKUP(B100,'RISCHIO CARDIO 3.0'!B:B,1,FALSE())</f>
        <v>#N/A</v>
      </c>
      <c r="F100" s="2" t="e">
        <f aca="false">VLOOKUP(B100,'RISCHIO VITA 3.0'!C:C,1,FALSE())</f>
        <v>#N/A</v>
      </c>
      <c r="G100" s="2" t="e">
        <f aca="false">VLOOKUP(B100,'RISCHIO SPORT'!B:B,1,FALSE())</f>
        <v>#N/A</v>
      </c>
      <c r="H100" s="2" t="e">
        <f aca="false">VLOOKUP(B100,'RISCHIO AGING '!B:B,1,FALSE())</f>
        <v>#N/A</v>
      </c>
      <c r="I100" s="2" t="e">
        <f aca="false">VLOOKUP(B100,'RISCHIO MAMMA'!B:B,1,FALSE())</f>
        <v>#N/A</v>
      </c>
      <c r="J100" s="2" t="e">
        <f aca="false">VLOOKUP(B100,'RIS PLUS3.0'!B:B,1,FALSE())</f>
        <v>#N/A</v>
      </c>
      <c r="M100" s="2" t="s">
        <v>176</v>
      </c>
    </row>
    <row r="101" customFormat="false" ht="16.4" hidden="false" customHeight="false" outlineLevel="0" collapsed="false">
      <c r="A101" s="1" t="s">
        <v>177</v>
      </c>
      <c r="B101" s="2" t="s">
        <v>178</v>
      </c>
      <c r="C101" s="3" t="e">
        <f aca="false">VLOOKUP(B101,'RISCHIO PESO 3.0'!B:B,1,FALSE())</f>
        <v>#N/A</v>
      </c>
      <c r="D101" s="2" t="e">
        <f aca="false">VLOOKUP(B101,'RISCHIO T2D 3.0'!B:B,1,FALSE())</f>
        <v>#N/A</v>
      </c>
      <c r="E101" s="2" t="e">
        <f aca="false">VLOOKUP(B101,'RISCHIO CARDIO 3.0'!B:B,1,FALSE())</f>
        <v>#N/A</v>
      </c>
      <c r="F101" s="2" t="e">
        <f aca="false">VLOOKUP(B101,'RISCHIO VITA 3.0'!C:C,1,FALSE())</f>
        <v>#N/A</v>
      </c>
      <c r="G101" s="2" t="e">
        <f aca="false">VLOOKUP(B101,'RISCHIO SPORT'!B:B,1,FALSE())</f>
        <v>#N/A</v>
      </c>
      <c r="H101" s="2" t="e">
        <f aca="false">VLOOKUP(B101,'RISCHIO AGING '!B:B,1,FALSE())</f>
        <v>#N/A</v>
      </c>
      <c r="I101" s="2" t="e">
        <f aca="false">VLOOKUP(B101,'RISCHIO MAMMA'!B:B,1,FALSE())</f>
        <v>#N/A</v>
      </c>
      <c r="J101" s="2" t="e">
        <f aca="false">VLOOKUP(B101,'RIS PLUS3.0'!B:B,1,FALSE())</f>
        <v>#N/A</v>
      </c>
      <c r="O101" s="2" t="s">
        <v>178</v>
      </c>
    </row>
    <row r="102" customFormat="false" ht="16.4" hidden="false" customHeight="false" outlineLevel="0" collapsed="false">
      <c r="A102" s="1" t="s">
        <v>177</v>
      </c>
      <c r="B102" s="2" t="s">
        <v>179</v>
      </c>
      <c r="C102" s="3" t="e">
        <f aca="false">VLOOKUP(B102,'RISCHIO PESO 3.0'!B:B,1,FALSE())</f>
        <v>#N/A</v>
      </c>
      <c r="D102" s="2" t="e">
        <f aca="false">VLOOKUP(B102,'RISCHIO T2D 3.0'!B:B,1,FALSE())</f>
        <v>#N/A</v>
      </c>
      <c r="E102" s="2" t="e">
        <f aca="false">VLOOKUP(B102,'RISCHIO CARDIO 3.0'!B:B,1,FALSE())</f>
        <v>#N/A</v>
      </c>
      <c r="F102" s="2" t="e">
        <f aca="false">VLOOKUP(B102,'RISCHIO VITA 3.0'!C:C,1,FALSE())</f>
        <v>#N/A</v>
      </c>
      <c r="G102" s="2" t="e">
        <f aca="false">VLOOKUP(B102,'RISCHIO SPORT'!B:B,1,FALSE())</f>
        <v>#N/A</v>
      </c>
      <c r="H102" s="2" t="e">
        <f aca="false">VLOOKUP(B102,'RISCHIO AGING '!B:B,1,FALSE())</f>
        <v>#N/A</v>
      </c>
      <c r="I102" s="2" t="e">
        <f aca="false">VLOOKUP(B102,'RISCHIO MAMMA'!B:B,1,FALSE())</f>
        <v>#N/A</v>
      </c>
      <c r="J102" s="2" t="e">
        <f aca="false">VLOOKUP(B102,'RIS PLUS3.0'!B:B,1,FALSE())</f>
        <v>#N/A</v>
      </c>
      <c r="O102" s="2" t="s">
        <v>179</v>
      </c>
    </row>
    <row r="103" customFormat="false" ht="16.4" hidden="false" customHeight="false" outlineLevel="0" collapsed="false">
      <c r="A103" s="1" t="s">
        <v>180</v>
      </c>
      <c r="B103" s="2" t="s">
        <v>181</v>
      </c>
      <c r="C103" s="3" t="e">
        <f aca="false">VLOOKUP(B103,'RISCHIO PESO 3.0'!B:B,1,FALSE())</f>
        <v>#N/A</v>
      </c>
      <c r="D103" s="2" t="e">
        <f aca="false">VLOOKUP(B103,'RISCHIO T2D 3.0'!B:B,1,FALSE())</f>
        <v>#N/A</v>
      </c>
      <c r="E103" s="2" t="e">
        <f aca="false">VLOOKUP(B103,'RISCHIO CARDIO 3.0'!B:B,1,FALSE())</f>
        <v>#N/A</v>
      </c>
      <c r="F103" s="2" t="str">
        <f aca="false">VLOOKUP(B103,'RISCHIO VITA 3.0'!C:C,1,FALSE())</f>
        <v>rs602662</v>
      </c>
      <c r="G103" s="2" t="e">
        <f aca="false">VLOOKUP(B103,'RISCHIO SPORT'!B:B,1,FALSE())</f>
        <v>#N/A</v>
      </c>
      <c r="H103" s="2" t="e">
        <f aca="false">VLOOKUP(B103,'RISCHIO AGING '!B:B,1,FALSE())</f>
        <v>#N/A</v>
      </c>
      <c r="I103" s="2" t="e">
        <f aca="false">VLOOKUP(B103,'RISCHIO MAMMA'!B:B,1,FALSE())</f>
        <v>#N/A</v>
      </c>
      <c r="J103" s="2" t="e">
        <f aca="false">VLOOKUP(B103,'RIS PLUS3.0'!B:B,1,FALSE())</f>
        <v>#N/A</v>
      </c>
      <c r="P103" s="2" t="s">
        <v>181</v>
      </c>
    </row>
    <row r="104" s="7" customFormat="true" ht="15" hidden="false" customHeight="false" outlineLevel="0" collapsed="false">
      <c r="A104" s="6" t="s">
        <v>182</v>
      </c>
      <c r="B104" s="7" t="s">
        <v>183</v>
      </c>
      <c r="C104" s="8" t="e">
        <f aca="false">VLOOKUP(B104,'RISCHIO PESO 3.0'!B:B,1,FALSE())</f>
        <v>#N/A</v>
      </c>
      <c r="D104" s="7" t="e">
        <f aca="false">VLOOKUP(B104,'RISCHIO T2D 3.0'!B:B,1,FALSE())</f>
        <v>#N/A</v>
      </c>
      <c r="E104" s="7" t="e">
        <f aca="false">VLOOKUP(B104,'RISCHIO CARDIO 3.0'!B:B,1,FALSE())</f>
        <v>#N/A</v>
      </c>
      <c r="F104" s="7" t="e">
        <f aca="false">VLOOKUP(B104,'RISCHIO VITA 3.0'!C:C,1,FALSE())</f>
        <v>#N/A</v>
      </c>
      <c r="G104" s="7" t="e">
        <f aca="false">VLOOKUP(B104,'RISCHIO SPORT'!B:B,1,FALSE())</f>
        <v>#N/A</v>
      </c>
      <c r="H104" s="7" t="e">
        <f aca="false">VLOOKUP(B104,'RISCHIO AGING '!B:B,1,FALSE())</f>
        <v>#N/A</v>
      </c>
      <c r="I104" s="7" t="e">
        <f aca="false">VLOOKUP(B104,'RISCHIO MAMMA'!B:B,1,FALSE())</f>
        <v>#N/A</v>
      </c>
      <c r="J104" s="7" t="e">
        <f aca="false">VLOOKUP(B104,'RIS PLUS3.0'!B:B,1,FALSE())</f>
        <v>#N/A</v>
      </c>
      <c r="L104" s="9"/>
      <c r="M104" s="9"/>
      <c r="N104" s="9"/>
      <c r="O104" s="9"/>
      <c r="P104" s="9"/>
      <c r="Q104" s="9"/>
      <c r="R104" s="9"/>
      <c r="S104" s="9"/>
    </row>
    <row r="105" s="7" customFormat="true" ht="15" hidden="false" customHeight="false" outlineLevel="0" collapsed="false">
      <c r="A105" s="6" t="s">
        <v>182</v>
      </c>
      <c r="B105" s="7" t="s">
        <v>184</v>
      </c>
      <c r="C105" s="8" t="e">
        <f aca="false">VLOOKUP(B105,'RISCHIO PESO 3.0'!B:B,1,FALSE())</f>
        <v>#N/A</v>
      </c>
      <c r="D105" s="7" t="e">
        <f aca="false">VLOOKUP(B105,'RISCHIO T2D 3.0'!B:B,1,FALSE())</f>
        <v>#N/A</v>
      </c>
      <c r="E105" s="7" t="e">
        <f aca="false">VLOOKUP(B105,'RISCHIO CARDIO 3.0'!B:B,1,FALSE())</f>
        <v>#N/A</v>
      </c>
      <c r="F105" s="7" t="e">
        <f aca="false">VLOOKUP(B105,'RISCHIO VITA 3.0'!C:C,1,FALSE())</f>
        <v>#N/A</v>
      </c>
      <c r="G105" s="7" t="e">
        <f aca="false">VLOOKUP(B105,'RISCHIO SPORT'!B:B,1,FALSE())</f>
        <v>#N/A</v>
      </c>
      <c r="H105" s="7" t="e">
        <f aca="false">VLOOKUP(B105,'RISCHIO AGING '!B:B,1,FALSE())</f>
        <v>#N/A</v>
      </c>
      <c r="I105" s="7" t="e">
        <f aca="false">VLOOKUP(B105,'RISCHIO MAMMA'!B:B,1,FALSE())</f>
        <v>#N/A</v>
      </c>
      <c r="J105" s="7" t="e">
        <f aca="false">VLOOKUP(B105,'RIS PLUS3.0'!B:B,1,FALSE())</f>
        <v>#N/A</v>
      </c>
      <c r="L105" s="9"/>
      <c r="M105" s="9"/>
      <c r="N105" s="9"/>
      <c r="O105" s="9"/>
      <c r="P105" s="9"/>
      <c r="Q105" s="9"/>
      <c r="R105" s="9"/>
      <c r="S105" s="9"/>
    </row>
    <row r="106" s="7" customFormat="true" ht="15" hidden="false" customHeight="false" outlineLevel="0" collapsed="false">
      <c r="A106" s="6" t="s">
        <v>182</v>
      </c>
      <c r="B106" s="7" t="s">
        <v>185</v>
      </c>
      <c r="C106" s="8" t="e">
        <f aca="false">VLOOKUP(B106,'RISCHIO PESO 3.0'!B:B,1,FALSE())</f>
        <v>#N/A</v>
      </c>
      <c r="D106" s="7" t="e">
        <f aca="false">VLOOKUP(B106,'RISCHIO T2D 3.0'!B:B,1,FALSE())</f>
        <v>#N/A</v>
      </c>
      <c r="E106" s="7" t="e">
        <f aca="false">VLOOKUP(B106,'RISCHIO CARDIO 3.0'!B:B,1,FALSE())</f>
        <v>#N/A</v>
      </c>
      <c r="F106" s="7" t="e">
        <f aca="false">VLOOKUP(B106,'RISCHIO VITA 3.0'!C:C,1,FALSE())</f>
        <v>#N/A</v>
      </c>
      <c r="G106" s="7" t="e">
        <f aca="false">VLOOKUP(B106,'RISCHIO SPORT'!B:B,1,FALSE())</f>
        <v>#N/A</v>
      </c>
      <c r="H106" s="7" t="e">
        <f aca="false">VLOOKUP(B106,'RISCHIO AGING '!B:B,1,FALSE())</f>
        <v>#N/A</v>
      </c>
      <c r="I106" s="7" t="e">
        <f aca="false">VLOOKUP(B106,'RISCHIO MAMMA'!B:B,1,FALSE())</f>
        <v>#N/A</v>
      </c>
      <c r="J106" s="7" t="e">
        <f aca="false">VLOOKUP(B106,'RIS PLUS3.0'!B:B,1,FALSE())</f>
        <v>#N/A</v>
      </c>
      <c r="L106" s="9"/>
      <c r="M106" s="9"/>
      <c r="N106" s="9"/>
      <c r="O106" s="9"/>
      <c r="P106" s="9"/>
      <c r="Q106" s="9"/>
      <c r="R106" s="9"/>
      <c r="S106" s="9"/>
    </row>
    <row r="107" s="7" customFormat="true" ht="15" hidden="false" customHeight="false" outlineLevel="0" collapsed="false">
      <c r="A107" s="6" t="s">
        <v>182</v>
      </c>
      <c r="B107" s="7" t="s">
        <v>186</v>
      </c>
      <c r="C107" s="8" t="e">
        <f aca="false">VLOOKUP(B107,'RISCHIO PESO 3.0'!B:B,1,FALSE())</f>
        <v>#N/A</v>
      </c>
      <c r="D107" s="7" t="e">
        <f aca="false">VLOOKUP(B107,'RISCHIO T2D 3.0'!B:B,1,FALSE())</f>
        <v>#N/A</v>
      </c>
      <c r="E107" s="7" t="e">
        <f aca="false">VLOOKUP(B107,'RISCHIO CARDIO 3.0'!B:B,1,FALSE())</f>
        <v>#N/A</v>
      </c>
      <c r="F107" s="7" t="e">
        <f aca="false">VLOOKUP(B107,'RISCHIO VITA 3.0'!C:C,1,FALSE())</f>
        <v>#N/A</v>
      </c>
      <c r="G107" s="7" t="e">
        <f aca="false">VLOOKUP(B107,'RISCHIO SPORT'!B:B,1,FALSE())</f>
        <v>#N/A</v>
      </c>
      <c r="H107" s="7" t="e">
        <f aca="false">VLOOKUP(B107,'RISCHIO AGING '!B:B,1,FALSE())</f>
        <v>#N/A</v>
      </c>
      <c r="I107" s="7" t="e">
        <f aca="false">VLOOKUP(B107,'RISCHIO MAMMA'!B:B,1,FALSE())</f>
        <v>#N/A</v>
      </c>
      <c r="J107" s="7" t="e">
        <f aca="false">VLOOKUP(B107,'RIS PLUS3.0'!B:B,1,FALSE())</f>
        <v>#N/A</v>
      </c>
      <c r="L107" s="9"/>
      <c r="M107" s="9"/>
      <c r="N107" s="9"/>
      <c r="O107" s="9"/>
      <c r="P107" s="9"/>
      <c r="Q107" s="9"/>
      <c r="R107" s="9"/>
      <c r="S107" s="9"/>
    </row>
    <row r="108" customFormat="false" ht="16.4" hidden="false" customHeight="false" outlineLevel="0" collapsed="false">
      <c r="A108" s="1" t="s">
        <v>187</v>
      </c>
      <c r="B108" s="2" t="s">
        <v>188</v>
      </c>
      <c r="C108" s="3" t="e">
        <f aca="false">VLOOKUP(B108,'RISCHIO PESO 3.0'!B:B,1,FALSE())</f>
        <v>#N/A</v>
      </c>
      <c r="D108" s="2" t="e">
        <f aca="false">VLOOKUP(B108,'RISCHIO T2D 3.0'!B:B,1,FALSE())</f>
        <v>#N/A</v>
      </c>
      <c r="E108" s="2" t="e">
        <f aca="false">VLOOKUP(B108,'RISCHIO CARDIO 3.0'!B:B,1,FALSE())</f>
        <v>#N/A</v>
      </c>
      <c r="F108" s="2" t="e">
        <f aca="false">VLOOKUP(B108,'RISCHIO VITA 3.0'!C:C,1,FALSE())</f>
        <v>#N/A</v>
      </c>
      <c r="G108" s="2" t="str">
        <f aca="false">VLOOKUP(B108,'RISCHIO SPORT'!B:B,1,FALSE())</f>
        <v>rs143383</v>
      </c>
      <c r="H108" s="2" t="e">
        <f aca="false">VLOOKUP(B108,'RISCHIO AGING '!B:B,1,FALSE())</f>
        <v>#N/A</v>
      </c>
      <c r="I108" s="2" t="e">
        <f aca="false">VLOOKUP(B108,'RISCHIO MAMMA'!B:B,1,FALSE())</f>
        <v>#N/A</v>
      </c>
      <c r="J108" s="2" t="e">
        <f aca="false">VLOOKUP(B108,'RIS PLUS3.0'!B:B,1,FALSE())</f>
        <v>#N/A</v>
      </c>
      <c r="Q108" s="2" t="s">
        <v>188</v>
      </c>
    </row>
    <row r="109" customFormat="false" ht="16.4" hidden="false" customHeight="false" outlineLevel="0" collapsed="false">
      <c r="A109" s="1" t="s">
        <v>189</v>
      </c>
      <c r="B109" s="2" t="s">
        <v>190</v>
      </c>
      <c r="C109" s="3" t="e">
        <f aca="false">VLOOKUP(B109,'RISCHIO PESO 3.0'!B:B,1,FALSE())</f>
        <v>#N/A</v>
      </c>
      <c r="D109" s="2" t="e">
        <f aca="false">VLOOKUP(B109,'RISCHIO T2D 3.0'!B:B,1,FALSE())</f>
        <v>#N/A</v>
      </c>
      <c r="E109" s="2" t="e">
        <f aca="false">VLOOKUP(B109,'RISCHIO CARDIO 3.0'!B:B,1,FALSE())</f>
        <v>#N/A</v>
      </c>
      <c r="F109" s="2" t="e">
        <f aca="false">VLOOKUP(B109,'RISCHIO VITA 3.0'!C:C,1,FALSE())</f>
        <v>#N/A</v>
      </c>
      <c r="G109" s="2" t="e">
        <f aca="false">VLOOKUP(B109,'RISCHIO SPORT'!B:B,1,FALSE())</f>
        <v>#N/A</v>
      </c>
      <c r="H109" s="2" t="str">
        <f aca="false">VLOOKUP(B109,'RISCHIO AGING '!B:B,1,FALSE())</f>
        <v>rs3918242</v>
      </c>
      <c r="I109" s="2" t="e">
        <f aca="false">VLOOKUP(B109,'RISCHIO MAMMA'!B:B,1,FALSE())</f>
        <v>#N/A</v>
      </c>
      <c r="J109" s="2" t="e">
        <f aca="false">VLOOKUP(B109,'RIS PLUS3.0'!B:B,1,FALSE())</f>
        <v>#N/A</v>
      </c>
      <c r="R109" s="2" t="s">
        <v>190</v>
      </c>
    </row>
    <row r="110" customFormat="false" ht="16.4" hidden="false" customHeight="false" outlineLevel="0" collapsed="false">
      <c r="A110" s="1" t="s">
        <v>191</v>
      </c>
      <c r="B110" s="2" t="s">
        <v>192</v>
      </c>
      <c r="C110" s="3" t="e">
        <f aca="false">VLOOKUP(B110,'RISCHIO PESO 3.0'!B:B,1,FALSE())</f>
        <v>#N/A</v>
      </c>
      <c r="D110" s="2" t="e">
        <f aca="false">VLOOKUP(B110,'RISCHIO T2D 3.0'!B:B,1,FALSE())</f>
        <v>#N/A</v>
      </c>
      <c r="E110" s="2" t="e">
        <f aca="false">VLOOKUP(B110,'RISCHIO CARDIO 3.0'!B:B,1,FALSE())</f>
        <v>#N/A</v>
      </c>
      <c r="F110" s="2" t="str">
        <f aca="false">VLOOKUP(B110,'RISCHIO VITA 3.0'!C:C,1,FALSE())</f>
        <v>rs855791</v>
      </c>
      <c r="G110" s="2" t="e">
        <f aca="false">VLOOKUP(B110,'RISCHIO SPORT'!B:B,1,FALSE())</f>
        <v>#N/A</v>
      </c>
      <c r="H110" s="2" t="e">
        <f aca="false">VLOOKUP(B110,'RISCHIO AGING '!B:B,1,FALSE())</f>
        <v>#N/A</v>
      </c>
      <c r="I110" s="2" t="e">
        <f aca="false">VLOOKUP(B110,'RISCHIO MAMMA'!B:B,1,FALSE())</f>
        <v>#N/A</v>
      </c>
      <c r="J110" s="2" t="e">
        <f aca="false">VLOOKUP(B110,'RIS PLUS3.0'!B:B,1,FALSE())</f>
        <v>#N/A</v>
      </c>
      <c r="P110" s="2" t="s">
        <v>192</v>
      </c>
    </row>
    <row r="111" customFormat="false" ht="16.4" hidden="false" customHeight="false" outlineLevel="0" collapsed="false">
      <c r="A111" s="1" t="s">
        <v>191</v>
      </c>
      <c r="B111" s="2" t="s">
        <v>193</v>
      </c>
      <c r="C111" s="3" t="e">
        <f aca="false">VLOOKUP(B111,'RISCHIO PESO 3.0'!B:B,1,FALSE())</f>
        <v>#N/A</v>
      </c>
      <c r="D111" s="2" t="e">
        <f aca="false">VLOOKUP(B111,'RISCHIO T2D 3.0'!B:B,1,FALSE())</f>
        <v>#N/A</v>
      </c>
      <c r="E111" s="2" t="e">
        <f aca="false">VLOOKUP(B111,'RISCHIO CARDIO 3.0'!B:B,1,FALSE())</f>
        <v>#N/A</v>
      </c>
      <c r="F111" s="2" t="str">
        <f aca="false">VLOOKUP(B111,'RISCHIO VITA 3.0'!C:C,1,FALSE())</f>
        <v>rs4820268</v>
      </c>
      <c r="G111" s="2" t="e">
        <f aca="false">VLOOKUP(B111,'RISCHIO SPORT'!B:B,1,FALSE())</f>
        <v>#N/A</v>
      </c>
      <c r="H111" s="2" t="e">
        <f aca="false">VLOOKUP(B111,'RISCHIO AGING '!B:B,1,FALSE())</f>
        <v>#N/A</v>
      </c>
      <c r="I111" s="2" t="e">
        <f aca="false">VLOOKUP(B111,'RISCHIO MAMMA'!B:B,1,FALSE())</f>
        <v>#N/A</v>
      </c>
      <c r="J111" s="2" t="e">
        <f aca="false">VLOOKUP(B111,'RIS PLUS3.0'!B:B,1,FALSE())</f>
        <v>#N/A</v>
      </c>
      <c r="P111" s="2" t="s">
        <v>193</v>
      </c>
    </row>
    <row r="112" s="7" customFormat="true" ht="15" hidden="false" customHeight="false" outlineLevel="0" collapsed="false">
      <c r="A112" s="6" t="s">
        <v>194</v>
      </c>
      <c r="B112" s="7" t="s">
        <v>195</v>
      </c>
      <c r="C112" s="8" t="e">
        <f aca="false">VLOOKUP(B112,'RISCHIO PESO 3.0'!B:B,1,FALSE())</f>
        <v>#N/A</v>
      </c>
      <c r="D112" s="7" t="e">
        <f aca="false">VLOOKUP(B112,'RISCHIO T2D 3.0'!B:B,1,FALSE())</f>
        <v>#N/A</v>
      </c>
      <c r="E112" s="7" t="e">
        <f aca="false">VLOOKUP(B112,'RISCHIO CARDIO 3.0'!B:B,1,FALSE())</f>
        <v>#N/A</v>
      </c>
      <c r="F112" s="7" t="e">
        <f aca="false">VLOOKUP(B112,'RISCHIO VITA 3.0'!C:C,1,FALSE())</f>
        <v>#N/A</v>
      </c>
      <c r="G112" s="7" t="e">
        <f aca="false">VLOOKUP(B112,'RISCHIO SPORT'!B:B,1,FALSE())</f>
        <v>#N/A</v>
      </c>
      <c r="H112" s="7" t="e">
        <f aca="false">VLOOKUP(B112,'RISCHIO AGING '!B:B,1,FALSE())</f>
        <v>#N/A</v>
      </c>
      <c r="I112" s="7" t="e">
        <f aca="false">VLOOKUP(B112,'RISCHIO MAMMA'!B:B,1,FALSE())</f>
        <v>#N/A</v>
      </c>
      <c r="J112" s="7" t="e">
        <f aca="false">VLOOKUP(B112,'RIS PLUS3.0'!B:B,1,FALSE())</f>
        <v>#N/A</v>
      </c>
      <c r="L112" s="9"/>
      <c r="M112" s="9"/>
      <c r="N112" s="9"/>
      <c r="O112" s="9"/>
      <c r="P112" s="9"/>
      <c r="Q112" s="9"/>
      <c r="R112" s="9"/>
      <c r="S112" s="9"/>
    </row>
    <row r="113" s="7" customFormat="true" ht="15" hidden="false" customHeight="false" outlineLevel="0" collapsed="false">
      <c r="A113" s="6" t="s">
        <v>194</v>
      </c>
      <c r="B113" s="7" t="s">
        <v>196</v>
      </c>
      <c r="C113" s="8" t="e">
        <f aca="false">VLOOKUP(B113,'RISCHIO PESO 3.0'!B:B,1,FALSE())</f>
        <v>#N/A</v>
      </c>
      <c r="D113" s="7" t="e">
        <f aca="false">VLOOKUP(B113,'RISCHIO T2D 3.0'!B:B,1,FALSE())</f>
        <v>#N/A</v>
      </c>
      <c r="E113" s="7" t="e">
        <f aca="false">VLOOKUP(B113,'RISCHIO CARDIO 3.0'!B:B,1,FALSE())</f>
        <v>#N/A</v>
      </c>
      <c r="F113" s="7" t="e">
        <f aca="false">VLOOKUP(B113,'RISCHIO VITA 3.0'!C:C,1,FALSE())</f>
        <v>#N/A</v>
      </c>
      <c r="G113" s="7" t="e">
        <f aca="false">VLOOKUP(B113,'RISCHIO SPORT'!B:B,1,FALSE())</f>
        <v>#N/A</v>
      </c>
      <c r="H113" s="7" t="e">
        <f aca="false">VLOOKUP(B113,'RISCHIO AGING '!B:B,1,FALSE())</f>
        <v>#N/A</v>
      </c>
      <c r="I113" s="7" t="e">
        <f aca="false">VLOOKUP(B113,'RISCHIO MAMMA'!B:B,1,FALSE())</f>
        <v>#N/A</v>
      </c>
      <c r="J113" s="7" t="e">
        <f aca="false">VLOOKUP(B113,'RIS PLUS3.0'!B:B,1,FALSE())</f>
        <v>#N/A</v>
      </c>
      <c r="L113" s="9"/>
      <c r="M113" s="9"/>
      <c r="N113" s="9"/>
      <c r="O113" s="9"/>
      <c r="P113" s="9"/>
      <c r="Q113" s="9"/>
      <c r="R113" s="9"/>
      <c r="S113" s="9"/>
    </row>
    <row r="114" s="7" customFormat="true" ht="15" hidden="false" customHeight="false" outlineLevel="0" collapsed="false">
      <c r="A114" s="6" t="s">
        <v>194</v>
      </c>
      <c r="B114" s="7" t="s">
        <v>197</v>
      </c>
      <c r="C114" s="8" t="e">
        <f aca="false">VLOOKUP(B114,'RISCHIO PESO 3.0'!B:B,1,FALSE())</f>
        <v>#N/A</v>
      </c>
      <c r="D114" s="7" t="e">
        <f aca="false">VLOOKUP(B114,'RISCHIO T2D 3.0'!B:B,1,FALSE())</f>
        <v>#N/A</v>
      </c>
      <c r="E114" s="7" t="e">
        <f aca="false">VLOOKUP(B114,'RISCHIO CARDIO 3.0'!B:B,1,FALSE())</f>
        <v>#N/A</v>
      </c>
      <c r="F114" s="7" t="e">
        <f aca="false">VLOOKUP(B114,'RISCHIO VITA 3.0'!C:C,1,FALSE())</f>
        <v>#N/A</v>
      </c>
      <c r="G114" s="7" t="e">
        <f aca="false">VLOOKUP(B114,'RISCHIO SPORT'!B:B,1,FALSE())</f>
        <v>#N/A</v>
      </c>
      <c r="H114" s="7" t="e">
        <f aca="false">VLOOKUP(B114,'RISCHIO AGING '!B:B,1,FALSE())</f>
        <v>#N/A</v>
      </c>
      <c r="I114" s="7" t="e">
        <f aca="false">VLOOKUP(B114,'RISCHIO MAMMA'!B:B,1,FALSE())</f>
        <v>#N/A</v>
      </c>
      <c r="J114" s="7" t="e">
        <f aca="false">VLOOKUP(B114,'RIS PLUS3.0'!B:B,1,FALSE())</f>
        <v>#N/A</v>
      </c>
      <c r="L114" s="9"/>
      <c r="M114" s="9"/>
      <c r="N114" s="9"/>
      <c r="O114" s="9"/>
      <c r="P114" s="9"/>
      <c r="Q114" s="9"/>
      <c r="R114" s="9"/>
      <c r="S114" s="9"/>
    </row>
    <row r="115" customFormat="false" ht="16.4" hidden="false" customHeight="false" outlineLevel="0" collapsed="false">
      <c r="A115" s="1" t="s">
        <v>198</v>
      </c>
      <c r="B115" s="2" t="s">
        <v>199</v>
      </c>
      <c r="C115" s="3" t="e">
        <f aca="false">VLOOKUP(B115,'RISCHIO PESO 3.0'!B:B,1,FALSE())</f>
        <v>#N/A</v>
      </c>
      <c r="D115" s="2" t="e">
        <f aca="false">VLOOKUP(B115,'RISCHIO T2D 3.0'!B:B,1,FALSE())</f>
        <v>#N/A</v>
      </c>
      <c r="E115" s="2" t="e">
        <f aca="false">VLOOKUP(B115,'RISCHIO CARDIO 3.0'!B:B,1,FALSE())</f>
        <v>#N/A</v>
      </c>
      <c r="F115" s="2" t="e">
        <f aca="false">VLOOKUP(B115,'RISCHIO VITA 3.0'!C:C,1,FALSE())</f>
        <v>#N/A</v>
      </c>
      <c r="G115" s="2" t="e">
        <f aca="false">VLOOKUP(B115,'RISCHIO SPORT'!B:B,1,FALSE())</f>
        <v>#N/A</v>
      </c>
      <c r="H115" s="2" t="e">
        <f aca="false">VLOOKUP(B115,'RISCHIO AGING '!B:B,1,FALSE())</f>
        <v>#N/A</v>
      </c>
      <c r="I115" s="2" t="str">
        <f aca="false">VLOOKUP(B115,'RISCHIO MAMMA'!B:B,1,FALSE())</f>
        <v>rs4826508</v>
      </c>
      <c r="J115" s="2" t="e">
        <f aca="false">VLOOKUP(B115,'RIS PLUS3.0'!B:B,1,FALSE())</f>
        <v>#N/A</v>
      </c>
      <c r="S115" s="2" t="s">
        <v>199</v>
      </c>
    </row>
    <row r="116" customFormat="false" ht="15" hidden="false" customHeight="false" outlineLevel="0" collapsed="false">
      <c r="B116" s="4"/>
    </row>
  </sheetData>
  <conditionalFormatting sqref="L1:S1048576">
    <cfRule type="cellIs" priority="2" operator="greaterThan" aboveAverage="0" equalAverage="0" bottom="0" percent="0" rank="0" text="" dxfId="0">
      <formula>"&gt;0"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9"/>
  <sheetViews>
    <sheetView showFormulas="false" showGridLines="true" showRowColHeaders="true" showZeros="true" rightToLeft="false" tabSelected="false" showOutlineSymbols="true" defaultGridColor="true" view="normal" topLeftCell="A13" colorId="64" zoomScale="80" zoomScaleNormal="80" zoomScalePageLayoutView="100" workbookViewId="0">
      <selection pane="topLeft" activeCell="A50" activeCellId="0" sqref="A50"/>
    </sheetView>
  </sheetViews>
  <sheetFormatPr defaultColWidth="14.2890625" defaultRowHeight="15.75" zeroHeight="false" outlineLevelRow="0" outlineLevelCol="0"/>
  <cols>
    <col collapsed="false" customWidth="true" hidden="false" outlineLevel="0" max="1" min="1" style="4" width="18.29"/>
    <col collapsed="false" customWidth="true" hidden="false" outlineLevel="0" max="2" min="2" style="4" width="29"/>
    <col collapsed="false" customWidth="true" hidden="false" outlineLevel="0" max="4" min="3" style="4" width="18.86"/>
    <col collapsed="false" customWidth="true" hidden="false" outlineLevel="0" max="5" min="5" style="4" width="17.14"/>
    <col collapsed="false" customWidth="true" hidden="false" outlineLevel="0" max="6" min="6" style="4" width="55.15"/>
    <col collapsed="false" customWidth="true" hidden="false" outlineLevel="0" max="7" min="7" style="4" width="20.86"/>
    <col collapsed="false" customWidth="true" hidden="false" outlineLevel="0" max="8" min="8" style="4" width="14.71"/>
    <col collapsed="false" customWidth="false" hidden="false" outlineLevel="0" max="1024" min="9" style="4" width="14.29"/>
  </cols>
  <sheetData>
    <row r="1" customFormat="false" ht="15.75" hidden="false" customHeight="false" outlineLevel="0" collapsed="false">
      <c r="A1" s="4" t="s">
        <v>0</v>
      </c>
      <c r="B1" s="4" t="s">
        <v>1</v>
      </c>
      <c r="C1" s="4" t="s">
        <v>200</v>
      </c>
      <c r="D1" s="4" t="s">
        <v>201</v>
      </c>
      <c r="E1" s="4" t="s">
        <v>2</v>
      </c>
      <c r="F1" s="4" t="s">
        <v>202</v>
      </c>
    </row>
    <row r="2" customFormat="false" ht="17.25" hidden="false" customHeight="true" outlineLevel="0" collapsed="false">
      <c r="A2" s="4" t="s">
        <v>203</v>
      </c>
      <c r="B2" s="4" t="s">
        <v>58</v>
      </c>
      <c r="C2" s="4" t="s">
        <v>204</v>
      </c>
      <c r="E2" s="18" t="n">
        <v>1</v>
      </c>
      <c r="F2" s="4" t="s">
        <v>205</v>
      </c>
    </row>
    <row r="3" customFormat="false" ht="15.75" hidden="false" customHeight="false" outlineLevel="0" collapsed="false">
      <c r="A3" s="4" t="s">
        <v>203</v>
      </c>
      <c r="B3" s="4" t="s">
        <v>58</v>
      </c>
      <c r="C3" s="4" t="s">
        <v>206</v>
      </c>
      <c r="E3" s="4" t="n">
        <v>0</v>
      </c>
    </row>
    <row r="4" customFormat="false" ht="15.75" hidden="false" customHeight="false" outlineLevel="0" collapsed="false">
      <c r="A4" s="4" t="s">
        <v>203</v>
      </c>
      <c r="B4" s="4" t="s">
        <v>58</v>
      </c>
      <c r="C4" s="4" t="s">
        <v>207</v>
      </c>
      <c r="E4" s="19" t="n">
        <v>-1</v>
      </c>
      <c r="F4" s="4" t="s">
        <v>208</v>
      </c>
    </row>
    <row r="5" customFormat="false" ht="15.75" hidden="false" customHeight="false" outlineLevel="0" collapsed="false">
      <c r="A5" s="4" t="s">
        <v>33</v>
      </c>
      <c r="B5" s="4" t="s">
        <v>34</v>
      </c>
      <c r="C5" s="4" t="s">
        <v>209</v>
      </c>
      <c r="E5" s="18" t="n">
        <v>2</v>
      </c>
    </row>
    <row r="6" customFormat="false" ht="15.75" hidden="false" customHeight="false" outlineLevel="0" collapsed="false">
      <c r="A6" s="4" t="s">
        <v>33</v>
      </c>
      <c r="B6" s="4" t="s">
        <v>34</v>
      </c>
      <c r="C6" s="4" t="s">
        <v>210</v>
      </c>
      <c r="E6" s="4" t="n">
        <v>1</v>
      </c>
    </row>
    <row r="7" customFormat="false" ht="15.75" hidden="false" customHeight="false" outlineLevel="0" collapsed="false">
      <c r="A7" s="4" t="s">
        <v>33</v>
      </c>
      <c r="B7" s="4" t="s">
        <v>34</v>
      </c>
      <c r="C7" s="4" t="s">
        <v>211</v>
      </c>
      <c r="E7" s="4" t="n">
        <v>0</v>
      </c>
    </row>
    <row r="8" customFormat="false" ht="15.75" hidden="false" customHeight="false" outlineLevel="0" collapsed="false">
      <c r="A8" s="4" t="s">
        <v>121</v>
      </c>
      <c r="B8" s="4" t="s">
        <v>122</v>
      </c>
      <c r="C8" s="4" t="s">
        <v>207</v>
      </c>
      <c r="E8" s="4" t="n">
        <v>0</v>
      </c>
      <c r="F8" s="20" t="s">
        <v>212</v>
      </c>
    </row>
    <row r="9" customFormat="false" ht="15.75" hidden="false" customHeight="false" outlineLevel="0" collapsed="false">
      <c r="A9" s="4" t="s">
        <v>121</v>
      </c>
      <c r="B9" s="4" t="s">
        <v>122</v>
      </c>
      <c r="C9" s="4" t="s">
        <v>213</v>
      </c>
      <c r="E9" s="4" t="n">
        <v>0</v>
      </c>
    </row>
    <row r="10" customFormat="false" ht="15.75" hidden="false" customHeight="false" outlineLevel="0" collapsed="false">
      <c r="A10" s="4" t="s">
        <v>121</v>
      </c>
      <c r="B10" s="4" t="s">
        <v>122</v>
      </c>
      <c r="C10" s="4" t="s">
        <v>204</v>
      </c>
      <c r="E10" s="18" t="n">
        <v>1</v>
      </c>
    </row>
    <row r="11" customFormat="false" ht="15.75" hidden="false" customHeight="false" outlineLevel="0" collapsed="false">
      <c r="A11" s="4" t="s">
        <v>75</v>
      </c>
      <c r="B11" s="4" t="s">
        <v>76</v>
      </c>
      <c r="C11" s="4" t="s">
        <v>207</v>
      </c>
      <c r="E11" s="18" t="n">
        <v>1</v>
      </c>
      <c r="G11" s="21"/>
    </row>
    <row r="12" customFormat="false" ht="15.75" hidden="false" customHeight="false" outlineLevel="0" collapsed="false">
      <c r="A12" s="4" t="s">
        <v>75</v>
      </c>
      <c r="B12" s="4" t="s">
        <v>76</v>
      </c>
      <c r="C12" s="4" t="s">
        <v>213</v>
      </c>
      <c r="E12" s="4" t="n">
        <v>0</v>
      </c>
      <c r="G12" s="21"/>
    </row>
    <row r="13" customFormat="false" ht="15.75" hidden="false" customHeight="false" outlineLevel="0" collapsed="false">
      <c r="A13" s="4" t="s">
        <v>75</v>
      </c>
      <c r="B13" s="4" t="s">
        <v>76</v>
      </c>
      <c r="C13" s="4" t="s">
        <v>204</v>
      </c>
      <c r="E13" s="4" t="n">
        <v>0</v>
      </c>
    </row>
    <row r="14" customFormat="false" ht="15.75" hidden="false" customHeight="false" outlineLevel="0" collapsed="false">
      <c r="A14" s="4" t="s">
        <v>154</v>
      </c>
      <c r="B14" s="4" t="s">
        <v>159</v>
      </c>
      <c r="C14" s="4" t="s">
        <v>211</v>
      </c>
      <c r="E14" s="18" t="n">
        <v>5</v>
      </c>
    </row>
    <row r="15" customFormat="false" ht="15.75" hidden="false" customHeight="false" outlineLevel="0" collapsed="false">
      <c r="A15" s="4" t="s">
        <v>154</v>
      </c>
      <c r="B15" s="4" t="s">
        <v>159</v>
      </c>
      <c r="C15" s="4" t="s">
        <v>214</v>
      </c>
      <c r="E15" s="4" t="n">
        <v>3</v>
      </c>
      <c r="G15" s="20"/>
    </row>
    <row r="16" customFormat="false" ht="15.75" hidden="false" customHeight="false" outlineLevel="0" collapsed="false">
      <c r="A16" s="4" t="s">
        <v>154</v>
      </c>
      <c r="B16" s="4" t="s">
        <v>159</v>
      </c>
      <c r="C16" s="4" t="s">
        <v>207</v>
      </c>
      <c r="E16" s="4" t="n">
        <v>0</v>
      </c>
      <c r="G16" s="22"/>
    </row>
    <row r="17" customFormat="false" ht="15.75" hidden="false" customHeight="false" outlineLevel="0" collapsed="false">
      <c r="A17" s="23" t="s">
        <v>154</v>
      </c>
      <c r="B17" s="4" t="s">
        <v>155</v>
      </c>
      <c r="C17" s="23" t="s">
        <v>204</v>
      </c>
      <c r="D17" s="23"/>
      <c r="E17" s="24" t="n">
        <v>5</v>
      </c>
    </row>
    <row r="18" customFormat="false" ht="15.75" hidden="false" customHeight="false" outlineLevel="0" collapsed="false">
      <c r="A18" s="23" t="s">
        <v>154</v>
      </c>
      <c r="B18" s="4" t="s">
        <v>155</v>
      </c>
      <c r="C18" s="4" t="s">
        <v>206</v>
      </c>
      <c r="E18" s="4" t="n">
        <v>3</v>
      </c>
    </row>
    <row r="19" customFormat="false" ht="15.75" hidden="false" customHeight="false" outlineLevel="0" collapsed="false">
      <c r="A19" s="23" t="s">
        <v>154</v>
      </c>
      <c r="B19" s="4" t="s">
        <v>155</v>
      </c>
      <c r="C19" s="4" t="s">
        <v>207</v>
      </c>
      <c r="E19" s="4" t="n">
        <v>0</v>
      </c>
    </row>
    <row r="20" customFormat="false" ht="15.75" hidden="false" customHeight="false" outlineLevel="0" collapsed="false">
      <c r="A20" s="23" t="s">
        <v>154</v>
      </c>
      <c r="B20" s="4" t="s">
        <v>157</v>
      </c>
      <c r="C20" s="4" t="s">
        <v>209</v>
      </c>
      <c r="E20" s="4" t="n">
        <v>0</v>
      </c>
      <c r="F20" s="4" t="s">
        <v>215</v>
      </c>
    </row>
    <row r="21" customFormat="false" ht="15.75" hidden="false" customHeight="false" outlineLevel="0" collapsed="false">
      <c r="A21" s="23" t="s">
        <v>154</v>
      </c>
      <c r="B21" s="4" t="s">
        <v>157</v>
      </c>
      <c r="C21" s="4" t="s">
        <v>210</v>
      </c>
      <c r="E21" s="4" t="n">
        <v>3</v>
      </c>
      <c r="F21" s="4" t="s">
        <v>215</v>
      </c>
    </row>
    <row r="22" customFormat="false" ht="15.75" hidden="false" customHeight="false" outlineLevel="0" collapsed="false">
      <c r="A22" s="23" t="s">
        <v>154</v>
      </c>
      <c r="B22" s="4" t="s">
        <v>157</v>
      </c>
      <c r="C22" s="4" t="s">
        <v>211</v>
      </c>
      <c r="E22" s="4" t="n">
        <v>5</v>
      </c>
      <c r="F22" s="4" t="s">
        <v>215</v>
      </c>
    </row>
    <row r="23" customFormat="false" ht="15.75" hidden="false" customHeight="false" outlineLevel="0" collapsed="false">
      <c r="A23" s="23" t="s">
        <v>154</v>
      </c>
      <c r="B23" s="4" t="s">
        <v>156</v>
      </c>
      <c r="C23" s="4" t="s">
        <v>207</v>
      </c>
      <c r="E23" s="4" t="n">
        <v>0</v>
      </c>
      <c r="F23" s="4" t="s">
        <v>215</v>
      </c>
    </row>
    <row r="24" customFormat="false" ht="15.75" hidden="false" customHeight="false" outlineLevel="0" collapsed="false">
      <c r="A24" s="23" t="s">
        <v>154</v>
      </c>
      <c r="B24" s="4" t="s">
        <v>156</v>
      </c>
      <c r="C24" s="4" t="s">
        <v>214</v>
      </c>
      <c r="E24" s="4" t="n">
        <v>1</v>
      </c>
      <c r="F24" s="4" t="s">
        <v>215</v>
      </c>
    </row>
    <row r="25" customFormat="false" ht="15.75" hidden="false" customHeight="false" outlineLevel="0" collapsed="false">
      <c r="A25" s="23" t="s">
        <v>154</v>
      </c>
      <c r="B25" s="4" t="s">
        <v>156</v>
      </c>
      <c r="C25" s="4" t="s">
        <v>211</v>
      </c>
      <c r="E25" s="4" t="n">
        <v>2</v>
      </c>
      <c r="F25" s="4" t="s">
        <v>215</v>
      </c>
    </row>
    <row r="26" customFormat="false" ht="15.75" hidden="false" customHeight="false" outlineLevel="0" collapsed="false">
      <c r="A26" s="23" t="s">
        <v>154</v>
      </c>
      <c r="B26" s="4" t="s">
        <v>158</v>
      </c>
      <c r="C26" s="4" t="s">
        <v>211</v>
      </c>
      <c r="E26" s="4" t="n">
        <v>5</v>
      </c>
      <c r="F26" s="4" t="s">
        <v>215</v>
      </c>
    </row>
    <row r="27" customFormat="false" ht="15.75" hidden="false" customHeight="false" outlineLevel="0" collapsed="false">
      <c r="A27" s="23" t="s">
        <v>154</v>
      </c>
      <c r="B27" s="4" t="s">
        <v>158</v>
      </c>
      <c r="C27" s="4" t="s">
        <v>216</v>
      </c>
      <c r="E27" s="4" t="n">
        <v>3</v>
      </c>
      <c r="F27" s="4" t="s">
        <v>215</v>
      </c>
    </row>
    <row r="28" customFormat="false" ht="15.75" hidden="false" customHeight="false" outlineLevel="0" collapsed="false">
      <c r="A28" s="23" t="s">
        <v>154</v>
      </c>
      <c r="B28" s="4" t="s">
        <v>158</v>
      </c>
      <c r="C28" s="4" t="s">
        <v>204</v>
      </c>
      <c r="E28" s="4" t="n">
        <v>0</v>
      </c>
      <c r="F28" s="4" t="s">
        <v>215</v>
      </c>
    </row>
    <row r="29" customFormat="false" ht="15.75" hidden="false" customHeight="false" outlineLevel="0" collapsed="false">
      <c r="A29" s="4" t="s">
        <v>66</v>
      </c>
      <c r="B29" s="4" t="s">
        <v>67</v>
      </c>
      <c r="C29" s="4" t="s">
        <v>209</v>
      </c>
      <c r="E29" s="18" t="n">
        <v>1</v>
      </c>
    </row>
    <row r="30" customFormat="false" ht="15.75" hidden="false" customHeight="false" outlineLevel="0" collapsed="false">
      <c r="A30" s="4" t="s">
        <v>66</v>
      </c>
      <c r="B30" s="4" t="s">
        <v>67</v>
      </c>
      <c r="C30" s="4" t="s">
        <v>210</v>
      </c>
      <c r="E30" s="4" t="n">
        <v>0</v>
      </c>
    </row>
    <row r="31" customFormat="false" ht="15.75" hidden="false" customHeight="false" outlineLevel="0" collapsed="false">
      <c r="A31" s="4" t="s">
        <v>66</v>
      </c>
      <c r="B31" s="4" t="s">
        <v>67</v>
      </c>
      <c r="C31" s="4" t="s">
        <v>211</v>
      </c>
      <c r="E31" s="4" t="n">
        <v>0</v>
      </c>
    </row>
    <row r="32" customFormat="false" ht="15.75" hidden="false" customHeight="false" outlineLevel="0" collapsed="false">
      <c r="A32" s="21" t="s">
        <v>25</v>
      </c>
      <c r="B32" s="21" t="s">
        <v>26</v>
      </c>
      <c r="C32" s="4" t="s">
        <v>204</v>
      </c>
      <c r="E32" s="18" t="n">
        <v>1</v>
      </c>
    </row>
    <row r="33" customFormat="false" ht="15.75" hidden="false" customHeight="false" outlineLevel="0" collapsed="false">
      <c r="A33" s="21" t="s">
        <v>25</v>
      </c>
      <c r="B33" s="21" t="s">
        <v>26</v>
      </c>
      <c r="C33" s="4" t="s">
        <v>206</v>
      </c>
      <c r="E33" s="4" t="n">
        <v>0</v>
      </c>
    </row>
    <row r="34" customFormat="false" ht="15.75" hidden="false" customHeight="false" outlineLevel="0" collapsed="false">
      <c r="A34" s="21" t="s">
        <v>25</v>
      </c>
      <c r="B34" s="21" t="s">
        <v>26</v>
      </c>
      <c r="C34" s="4" t="s">
        <v>207</v>
      </c>
      <c r="E34" s="4" t="n">
        <v>0</v>
      </c>
    </row>
    <row r="35" customFormat="false" ht="15.75" hidden="false" customHeight="false" outlineLevel="0" collapsed="false">
      <c r="A35" s="4" t="s">
        <v>91</v>
      </c>
      <c r="B35" s="21" t="s">
        <v>92</v>
      </c>
      <c r="C35" s="4" t="s">
        <v>210</v>
      </c>
      <c r="E35" s="25" t="n">
        <v>0</v>
      </c>
    </row>
    <row r="36" customFormat="false" ht="15.75" hidden="false" customHeight="false" outlineLevel="0" collapsed="false">
      <c r="A36" s="4" t="s">
        <v>91</v>
      </c>
      <c r="B36" s="21" t="s">
        <v>92</v>
      </c>
      <c r="C36" s="4" t="s">
        <v>209</v>
      </c>
      <c r="E36" s="4" t="n">
        <v>0</v>
      </c>
    </row>
    <row r="37" customFormat="false" ht="15.75" hidden="false" customHeight="false" outlineLevel="0" collapsed="false">
      <c r="A37" s="4" t="s">
        <v>91</v>
      </c>
      <c r="B37" s="21" t="s">
        <v>92</v>
      </c>
      <c r="C37" s="4" t="s">
        <v>211</v>
      </c>
      <c r="E37" s="18" t="n">
        <v>1</v>
      </c>
    </row>
    <row r="38" customFormat="false" ht="15.75" hidden="false" customHeight="false" outlineLevel="0" collapsed="false">
      <c r="A38" s="4" t="s">
        <v>217</v>
      </c>
      <c r="B38" s="4" t="s">
        <v>176</v>
      </c>
      <c r="C38" s="4" t="s">
        <v>204</v>
      </c>
      <c r="E38" s="18" t="n">
        <v>2</v>
      </c>
    </row>
    <row r="39" customFormat="false" ht="15.75" hidden="false" customHeight="false" outlineLevel="0" collapsed="false">
      <c r="A39" s="4" t="s">
        <v>217</v>
      </c>
      <c r="B39" s="4" t="s">
        <v>176</v>
      </c>
      <c r="C39" s="4" t="s">
        <v>206</v>
      </c>
      <c r="E39" s="4" t="n">
        <v>1</v>
      </c>
    </row>
    <row r="40" customFormat="false" ht="15.75" hidden="false" customHeight="false" outlineLevel="0" collapsed="false">
      <c r="A40" s="4" t="s">
        <v>217</v>
      </c>
      <c r="B40" s="4" t="s">
        <v>176</v>
      </c>
      <c r="C40" s="4" t="s">
        <v>207</v>
      </c>
      <c r="E40" s="4" t="n">
        <v>0</v>
      </c>
    </row>
    <row r="41" customFormat="false" ht="15.75" hidden="false" customHeight="false" outlineLevel="0" collapsed="false">
      <c r="A41" s="4" t="s">
        <v>217</v>
      </c>
      <c r="B41" s="4" t="s">
        <v>175</v>
      </c>
      <c r="C41" s="4" t="s">
        <v>211</v>
      </c>
      <c r="E41" s="4" t="n">
        <v>3</v>
      </c>
      <c r="F41" s="4" t="s">
        <v>215</v>
      </c>
    </row>
    <row r="42" customFormat="false" ht="15.75" hidden="false" customHeight="false" outlineLevel="0" collapsed="false">
      <c r="A42" s="4" t="s">
        <v>217</v>
      </c>
      <c r="B42" s="4" t="s">
        <v>175</v>
      </c>
      <c r="C42" s="4" t="s">
        <v>218</v>
      </c>
      <c r="E42" s="4" t="n">
        <v>2</v>
      </c>
      <c r="F42" s="4" t="s">
        <v>215</v>
      </c>
    </row>
    <row r="43" customFormat="false" ht="15.75" hidden="false" customHeight="false" outlineLevel="0" collapsed="false">
      <c r="A43" s="4" t="s">
        <v>217</v>
      </c>
      <c r="B43" s="4" t="s">
        <v>175</v>
      </c>
      <c r="C43" s="4" t="s">
        <v>209</v>
      </c>
      <c r="E43" s="4" t="n">
        <v>0</v>
      </c>
      <c r="F43" s="4" t="s">
        <v>215</v>
      </c>
    </row>
    <row r="44" customFormat="false" ht="15.75" hidden="false" customHeight="false" outlineLevel="0" collapsed="false">
      <c r="A44" s="20" t="s">
        <v>51</v>
      </c>
      <c r="B44" s="20" t="s">
        <v>52</v>
      </c>
      <c r="C44" s="4" t="s">
        <v>209</v>
      </c>
      <c r="E44" s="18" t="n">
        <v>2</v>
      </c>
      <c r="F44" s="26"/>
    </row>
    <row r="45" customFormat="false" ht="15.75" hidden="false" customHeight="false" outlineLevel="0" collapsed="false">
      <c r="A45" s="20" t="s">
        <v>51</v>
      </c>
      <c r="B45" s="20" t="s">
        <v>52</v>
      </c>
      <c r="C45" s="4" t="s">
        <v>71</v>
      </c>
      <c r="E45" s="4" t="n">
        <v>1</v>
      </c>
    </row>
    <row r="46" customFormat="false" ht="15.75" hidden="false" customHeight="false" outlineLevel="0" collapsed="false">
      <c r="A46" s="20" t="s">
        <v>51</v>
      </c>
      <c r="B46" s="20" t="s">
        <v>52</v>
      </c>
      <c r="C46" s="4" t="s">
        <v>204</v>
      </c>
      <c r="E46" s="4" t="n">
        <v>0</v>
      </c>
    </row>
    <row r="47" customFormat="false" ht="15.75" hidden="false" customHeight="false" outlineLevel="0" collapsed="false">
      <c r="A47" s="4" t="s">
        <v>40</v>
      </c>
      <c r="B47" s="22" t="s">
        <v>41</v>
      </c>
      <c r="C47" s="4" t="s">
        <v>204</v>
      </c>
      <c r="E47" s="4" t="n">
        <v>0</v>
      </c>
    </row>
    <row r="48" customFormat="false" ht="15.75" hidden="false" customHeight="false" outlineLevel="0" collapsed="false">
      <c r="A48" s="4" t="s">
        <v>40</v>
      </c>
      <c r="B48" s="22" t="s">
        <v>41</v>
      </c>
      <c r="C48" s="4" t="s">
        <v>206</v>
      </c>
      <c r="E48" s="4" t="n">
        <v>0</v>
      </c>
    </row>
    <row r="49" customFormat="false" ht="15.75" hidden="false" customHeight="false" outlineLevel="0" collapsed="false">
      <c r="A49" s="4" t="s">
        <v>40</v>
      </c>
      <c r="B49" s="22" t="s">
        <v>41</v>
      </c>
      <c r="C49" s="4" t="s">
        <v>207</v>
      </c>
      <c r="E49" s="18" t="n">
        <v>1</v>
      </c>
    </row>
    <row r="56" customFormat="false" ht="15.75" hidden="false" customHeight="false" outlineLevel="0" collapsed="false">
      <c r="A56" s="27" t="s">
        <v>219</v>
      </c>
      <c r="B56" s="28" t="s">
        <v>220</v>
      </c>
    </row>
    <row r="57" customFormat="false" ht="15.75" hidden="false" customHeight="false" outlineLevel="0" collapsed="false">
      <c r="A57" s="29" t="s">
        <v>221</v>
      </c>
      <c r="B57" s="30" t="s">
        <v>222</v>
      </c>
    </row>
    <row r="58" customFormat="false" ht="15.75" hidden="false" customHeight="false" outlineLevel="0" collapsed="false">
      <c r="A58" s="31" t="s">
        <v>223</v>
      </c>
      <c r="B58" s="32" t="s">
        <v>224</v>
      </c>
    </row>
    <row r="59" customFormat="false" ht="15.75" hidden="false" customHeight="false" outlineLevel="0" collapsed="false">
      <c r="A59" s="33" t="s">
        <v>225</v>
      </c>
      <c r="B59" s="33" t="s">
        <v>226</v>
      </c>
    </row>
    <row r="61" customFormat="false" ht="19.5" hidden="false" customHeight="true" outlineLevel="0" collapsed="false"/>
    <row r="62" customFormat="false" ht="19.5" hidden="false" customHeight="true" outlineLevel="0" collapsed="false">
      <c r="B62" s="34"/>
    </row>
    <row r="63" customFormat="false" ht="19.5" hidden="false" customHeight="true" outlineLevel="0" collapsed="false">
      <c r="B63" s="35"/>
    </row>
    <row r="64" customFormat="false" ht="19.5" hidden="false" customHeight="true" outlineLevel="0" collapsed="false">
      <c r="B64" s="35"/>
    </row>
    <row r="65" customFormat="false" ht="15.75" hidden="false" customHeight="false" outlineLevel="0" collapsed="false">
      <c r="A65" s="36"/>
      <c r="B65" s="37"/>
    </row>
    <row r="66" customFormat="false" ht="30" hidden="false" customHeight="true" outlineLevel="0" collapsed="false">
      <c r="A66" s="23"/>
      <c r="B66" s="35"/>
    </row>
    <row r="67" customFormat="false" ht="30" hidden="false" customHeight="true" outlineLevel="0" collapsed="false">
      <c r="A67" s="38"/>
    </row>
    <row r="68" customFormat="false" ht="30" hidden="false" customHeight="true" outlineLevel="0" collapsed="false">
      <c r="A68" s="38"/>
    </row>
    <row r="69" customFormat="false" ht="30" hidden="false" customHeight="true" outlineLevel="0" collapsed="false">
      <c r="A69" s="3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4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35" activeCellId="0" sqref="A35"/>
    </sheetView>
  </sheetViews>
  <sheetFormatPr defaultColWidth="12.859375" defaultRowHeight="15.75" zeroHeight="false" outlineLevelRow="0" outlineLevelCol="0"/>
  <cols>
    <col collapsed="false" customWidth="false" hidden="false" outlineLevel="0" max="1" min="1" style="39" width="12.86"/>
    <col collapsed="false" customWidth="true" hidden="false" outlineLevel="0" max="2" min="2" style="39" width="22"/>
    <col collapsed="false" customWidth="false" hidden="false" outlineLevel="0" max="5" min="3" style="40" width="12.86"/>
    <col collapsed="false" customWidth="true" hidden="false" outlineLevel="0" max="6" min="6" style="39" width="45.57"/>
    <col collapsed="false" customWidth="false" hidden="false" outlineLevel="0" max="1024" min="7" style="39" width="12.86"/>
  </cols>
  <sheetData>
    <row r="1" s="4" customFormat="true" ht="15.75" hidden="false" customHeight="false" outlineLevel="0" collapsed="false">
      <c r="A1" s="41" t="s">
        <v>0</v>
      </c>
      <c r="B1" s="41" t="s">
        <v>1</v>
      </c>
      <c r="C1" s="42" t="s">
        <v>200</v>
      </c>
      <c r="D1" s="42" t="s">
        <v>201</v>
      </c>
      <c r="E1" s="42" t="s">
        <v>2</v>
      </c>
      <c r="F1" s="4" t="s">
        <v>202</v>
      </c>
    </row>
    <row r="2" customFormat="false" ht="15.75" hidden="false" customHeight="false" outlineLevel="0" collapsed="false">
      <c r="A2" s="42" t="s">
        <v>75</v>
      </c>
      <c r="B2" s="42" t="s">
        <v>76</v>
      </c>
      <c r="C2" s="42" t="s">
        <v>207</v>
      </c>
      <c r="D2" s="42"/>
      <c r="E2" s="43" t="n">
        <v>2</v>
      </c>
    </row>
    <row r="3" customFormat="false" ht="15.75" hidden="false" customHeight="false" outlineLevel="0" collapsed="false">
      <c r="A3" s="42" t="s">
        <v>75</v>
      </c>
      <c r="B3" s="42" t="s">
        <v>76</v>
      </c>
      <c r="C3" s="42" t="s">
        <v>213</v>
      </c>
      <c r="D3" s="42"/>
      <c r="E3" s="42" t="n">
        <v>0</v>
      </c>
    </row>
    <row r="4" customFormat="false" ht="15.75" hidden="false" customHeight="false" outlineLevel="0" collapsed="false">
      <c r="A4" s="42" t="s">
        <v>75</v>
      </c>
      <c r="B4" s="42" t="s">
        <v>76</v>
      </c>
      <c r="C4" s="42" t="s">
        <v>204</v>
      </c>
      <c r="D4" s="42"/>
      <c r="E4" s="42" t="n">
        <v>0</v>
      </c>
    </row>
    <row r="5" customFormat="false" ht="15.75" hidden="false" customHeight="false" outlineLevel="0" collapsed="false">
      <c r="A5" s="42" t="s">
        <v>115</v>
      </c>
      <c r="B5" s="42" t="s">
        <v>116</v>
      </c>
      <c r="C5" s="42" t="s">
        <v>207</v>
      </c>
      <c r="D5" s="42"/>
      <c r="E5" s="43" t="n">
        <v>2</v>
      </c>
    </row>
    <row r="6" customFormat="false" ht="15.75" hidden="false" customHeight="false" outlineLevel="0" collapsed="false">
      <c r="A6" s="42" t="s">
        <v>115</v>
      </c>
      <c r="B6" s="42" t="s">
        <v>116</v>
      </c>
      <c r="C6" s="42" t="s">
        <v>206</v>
      </c>
      <c r="D6" s="42"/>
      <c r="E6" s="42" t="n">
        <v>1</v>
      </c>
    </row>
    <row r="7" customFormat="false" ht="15.75" hidden="false" customHeight="false" outlineLevel="0" collapsed="false">
      <c r="A7" s="42" t="s">
        <v>115</v>
      </c>
      <c r="B7" s="42" t="s">
        <v>116</v>
      </c>
      <c r="C7" s="42" t="s">
        <v>204</v>
      </c>
      <c r="D7" s="42"/>
      <c r="E7" s="42" t="n">
        <v>0</v>
      </c>
    </row>
    <row r="8" customFormat="false" ht="15.75" hidden="false" customHeight="false" outlineLevel="0" collapsed="false">
      <c r="A8" s="42" t="s">
        <v>89</v>
      </c>
      <c r="B8" s="42" t="s">
        <v>90</v>
      </c>
      <c r="C8" s="42" t="s">
        <v>207</v>
      </c>
      <c r="D8" s="42"/>
      <c r="E8" s="43" t="n">
        <v>2</v>
      </c>
    </row>
    <row r="9" customFormat="false" ht="15.75" hidden="false" customHeight="false" outlineLevel="0" collapsed="false">
      <c r="A9" s="42" t="s">
        <v>89</v>
      </c>
      <c r="B9" s="42" t="s">
        <v>90</v>
      </c>
      <c r="C9" s="42" t="s">
        <v>213</v>
      </c>
      <c r="D9" s="42"/>
      <c r="E9" s="42" t="n">
        <v>1</v>
      </c>
    </row>
    <row r="10" customFormat="false" ht="15.75" hidden="false" customHeight="false" outlineLevel="0" collapsed="false">
      <c r="A10" s="42" t="s">
        <v>89</v>
      </c>
      <c r="B10" s="42" t="s">
        <v>90</v>
      </c>
      <c r="C10" s="42" t="s">
        <v>204</v>
      </c>
      <c r="D10" s="42"/>
      <c r="E10" s="42" t="n">
        <v>0</v>
      </c>
    </row>
    <row r="11" customFormat="false" ht="15.75" hidden="false" customHeight="false" outlineLevel="0" collapsed="false">
      <c r="A11" s="42" t="s">
        <v>42</v>
      </c>
      <c r="B11" s="42" t="s">
        <v>43</v>
      </c>
      <c r="C11" s="42" t="s">
        <v>207</v>
      </c>
      <c r="D11" s="42"/>
      <c r="E11" s="43" t="n">
        <v>2</v>
      </c>
    </row>
    <row r="12" customFormat="false" ht="15.75" hidden="false" customHeight="false" outlineLevel="0" collapsed="false">
      <c r="A12" s="42" t="s">
        <v>42</v>
      </c>
      <c r="B12" s="42" t="s">
        <v>43</v>
      </c>
      <c r="C12" s="42" t="s">
        <v>213</v>
      </c>
      <c r="D12" s="42"/>
      <c r="E12" s="42" t="n">
        <v>0</v>
      </c>
    </row>
    <row r="13" customFormat="false" ht="15.75" hidden="false" customHeight="false" outlineLevel="0" collapsed="false">
      <c r="A13" s="42" t="s">
        <v>42</v>
      </c>
      <c r="B13" s="42" t="s">
        <v>43</v>
      </c>
      <c r="C13" s="42" t="s">
        <v>204</v>
      </c>
      <c r="D13" s="42"/>
      <c r="E13" s="42" t="n">
        <v>0</v>
      </c>
    </row>
    <row r="14" customFormat="false" ht="15.75" hidden="false" customHeight="false" outlineLevel="0" collapsed="false">
      <c r="A14" s="42" t="s">
        <v>100</v>
      </c>
      <c r="B14" s="42" t="s">
        <v>101</v>
      </c>
      <c r="C14" s="42" t="s">
        <v>204</v>
      </c>
      <c r="D14" s="42"/>
      <c r="E14" s="43" t="n">
        <v>2</v>
      </c>
    </row>
    <row r="15" customFormat="false" ht="15.75" hidden="false" customHeight="false" outlineLevel="0" collapsed="false">
      <c r="A15" s="42" t="s">
        <v>100</v>
      </c>
      <c r="B15" s="42" t="s">
        <v>101</v>
      </c>
      <c r="C15" s="42" t="s">
        <v>206</v>
      </c>
      <c r="D15" s="42"/>
      <c r="E15" s="42" t="n">
        <v>1</v>
      </c>
    </row>
    <row r="16" customFormat="false" ht="15.75" hidden="false" customHeight="false" outlineLevel="0" collapsed="false">
      <c r="A16" s="42" t="s">
        <v>100</v>
      </c>
      <c r="B16" s="42" t="s">
        <v>101</v>
      </c>
      <c r="C16" s="42" t="s">
        <v>207</v>
      </c>
      <c r="D16" s="42"/>
      <c r="E16" s="42" t="n">
        <v>0</v>
      </c>
    </row>
    <row r="17" customFormat="false" ht="15.75" hidden="false" customHeight="false" outlineLevel="0" collapsed="false">
      <c r="A17" s="42" t="s">
        <v>135</v>
      </c>
      <c r="B17" s="42" t="s">
        <v>136</v>
      </c>
      <c r="C17" s="42" t="s">
        <v>209</v>
      </c>
      <c r="D17" s="42"/>
      <c r="E17" s="43" t="n">
        <v>2</v>
      </c>
      <c r="F17" s="44" t="s">
        <v>227</v>
      </c>
    </row>
    <row r="18" customFormat="false" ht="15.75" hidden="false" customHeight="false" outlineLevel="0" collapsed="false">
      <c r="A18" s="42" t="s">
        <v>135</v>
      </c>
      <c r="B18" s="42" t="s">
        <v>136</v>
      </c>
      <c r="C18" s="42" t="s">
        <v>71</v>
      </c>
      <c r="D18" s="42"/>
      <c r="E18" s="42" t="n">
        <v>1</v>
      </c>
      <c r="F18" s="44" t="s">
        <v>227</v>
      </c>
    </row>
    <row r="19" customFormat="false" ht="15.75" hidden="false" customHeight="false" outlineLevel="0" collapsed="false">
      <c r="A19" s="42" t="s">
        <v>135</v>
      </c>
      <c r="B19" s="42" t="s">
        <v>136</v>
      </c>
      <c r="C19" s="42" t="s">
        <v>204</v>
      </c>
      <c r="D19" s="42"/>
      <c r="E19" s="42" t="n">
        <v>0</v>
      </c>
      <c r="F19" s="44" t="s">
        <v>227</v>
      </c>
    </row>
    <row r="20" customFormat="false" ht="15.75" hidden="false" customHeight="false" outlineLevel="0" collapsed="false">
      <c r="A20" s="41" t="s">
        <v>154</v>
      </c>
      <c r="B20" s="41" t="s">
        <v>159</v>
      </c>
      <c r="C20" s="41" t="s">
        <v>211</v>
      </c>
      <c r="D20" s="41"/>
      <c r="E20" s="45" t="n">
        <v>5</v>
      </c>
    </row>
    <row r="21" customFormat="false" ht="15.75" hidden="false" customHeight="false" outlineLevel="0" collapsed="false">
      <c r="A21" s="41" t="s">
        <v>154</v>
      </c>
      <c r="B21" s="41" t="s">
        <v>159</v>
      </c>
      <c r="C21" s="41" t="s">
        <v>214</v>
      </c>
      <c r="D21" s="41"/>
      <c r="E21" s="41" t="n">
        <v>3</v>
      </c>
    </row>
    <row r="22" customFormat="false" ht="15.75" hidden="false" customHeight="false" outlineLevel="0" collapsed="false">
      <c r="A22" s="41" t="s">
        <v>154</v>
      </c>
      <c r="B22" s="41" t="s">
        <v>159</v>
      </c>
      <c r="C22" s="41" t="s">
        <v>207</v>
      </c>
      <c r="D22" s="41"/>
      <c r="E22" s="41" t="n">
        <v>0</v>
      </c>
    </row>
    <row r="23" customFormat="false" ht="15.75" hidden="false" customHeight="false" outlineLevel="0" collapsed="false">
      <c r="A23" s="46" t="s">
        <v>51</v>
      </c>
      <c r="B23" s="46" t="s">
        <v>52</v>
      </c>
      <c r="C23" s="41" t="s">
        <v>209</v>
      </c>
      <c r="D23" s="41"/>
      <c r="E23" s="45" t="n">
        <v>2</v>
      </c>
    </row>
    <row r="24" customFormat="false" ht="15.75" hidden="false" customHeight="false" outlineLevel="0" collapsed="false">
      <c r="A24" s="46" t="s">
        <v>51</v>
      </c>
      <c r="B24" s="46" t="s">
        <v>52</v>
      </c>
      <c r="C24" s="41" t="s">
        <v>71</v>
      </c>
      <c r="D24" s="41"/>
      <c r="E24" s="41" t="n">
        <v>1</v>
      </c>
    </row>
    <row r="25" customFormat="false" ht="15.75" hidden="false" customHeight="false" outlineLevel="0" collapsed="false">
      <c r="A25" s="46" t="s">
        <v>51</v>
      </c>
      <c r="B25" s="46" t="s">
        <v>52</v>
      </c>
      <c r="C25" s="41" t="s">
        <v>204</v>
      </c>
      <c r="D25" s="41"/>
      <c r="E25" s="41" t="n">
        <v>0</v>
      </c>
    </row>
    <row r="26" s="4" customFormat="true" ht="15.75" hidden="false" customHeight="false" outlineLevel="0" collapsed="false">
      <c r="A26" s="47" t="s">
        <v>154</v>
      </c>
      <c r="B26" s="41" t="s">
        <v>155</v>
      </c>
      <c r="C26" s="47" t="s">
        <v>204</v>
      </c>
      <c r="D26" s="47"/>
      <c r="E26" s="48" t="n">
        <v>5</v>
      </c>
    </row>
    <row r="27" s="4" customFormat="true" ht="15.75" hidden="false" customHeight="false" outlineLevel="0" collapsed="false">
      <c r="A27" s="47" t="s">
        <v>154</v>
      </c>
      <c r="B27" s="41" t="s">
        <v>155</v>
      </c>
      <c r="C27" s="41" t="s">
        <v>206</v>
      </c>
      <c r="D27" s="41"/>
      <c r="E27" s="41" t="n">
        <v>3</v>
      </c>
    </row>
    <row r="28" s="4" customFormat="true" ht="15.75" hidden="false" customHeight="false" outlineLevel="0" collapsed="false">
      <c r="A28" s="47" t="s">
        <v>154</v>
      </c>
      <c r="B28" s="41" t="s">
        <v>155</v>
      </c>
      <c r="C28" s="41" t="s">
        <v>207</v>
      </c>
      <c r="D28" s="41"/>
      <c r="E28" s="41" t="n">
        <v>0</v>
      </c>
    </row>
    <row r="29" customFormat="false" ht="15.75" hidden="false" customHeight="false" outlineLevel="0" collapsed="false">
      <c r="A29" s="42" t="s">
        <v>203</v>
      </c>
      <c r="B29" s="42" t="s">
        <v>58</v>
      </c>
      <c r="C29" s="49" t="s">
        <v>204</v>
      </c>
      <c r="D29" s="49"/>
      <c r="E29" s="45" t="n">
        <v>1</v>
      </c>
      <c r="F29" s="50" t="s">
        <v>228</v>
      </c>
    </row>
    <row r="30" customFormat="false" ht="15.75" hidden="false" customHeight="false" outlineLevel="0" collapsed="false">
      <c r="A30" s="42" t="s">
        <v>203</v>
      </c>
      <c r="B30" s="42" t="s">
        <v>58</v>
      </c>
      <c r="C30" s="42" t="s">
        <v>206</v>
      </c>
      <c r="D30" s="42"/>
      <c r="E30" s="51" t="n">
        <v>0</v>
      </c>
    </row>
    <row r="31" customFormat="false" ht="15.75" hidden="false" customHeight="false" outlineLevel="0" collapsed="false">
      <c r="A31" s="42" t="s">
        <v>203</v>
      </c>
      <c r="B31" s="42" t="s">
        <v>58</v>
      </c>
      <c r="C31" s="42" t="s">
        <v>207</v>
      </c>
      <c r="D31" s="42"/>
      <c r="E31" s="52" t="n">
        <v>-1</v>
      </c>
    </row>
    <row r="32" customFormat="false" ht="15.75" hidden="false" customHeight="false" outlineLevel="0" collapsed="false">
      <c r="A32" s="23" t="s">
        <v>154</v>
      </c>
      <c r="B32" s="4" t="s">
        <v>158</v>
      </c>
      <c r="C32" s="4" t="s">
        <v>211</v>
      </c>
      <c r="D32" s="4"/>
      <c r="E32" s="4" t="n">
        <v>5</v>
      </c>
      <c r="F32" s="4" t="s">
        <v>215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  <c r="IY32" s="4"/>
      <c r="IZ32" s="4"/>
      <c r="JA32" s="4"/>
      <c r="JB32" s="4"/>
      <c r="JC32" s="4"/>
      <c r="JD32" s="4"/>
      <c r="JE32" s="4"/>
      <c r="JF32" s="4"/>
      <c r="JG32" s="4"/>
      <c r="JH32" s="4"/>
      <c r="JI32" s="4"/>
      <c r="JJ32" s="4"/>
      <c r="JK32" s="4"/>
      <c r="JL32" s="4"/>
      <c r="JM32" s="4"/>
      <c r="JN32" s="4"/>
      <c r="JO32" s="4"/>
      <c r="JP32" s="4"/>
      <c r="JQ32" s="4"/>
      <c r="JR32" s="4"/>
      <c r="JS32" s="4"/>
      <c r="JT32" s="4"/>
      <c r="JU32" s="4"/>
      <c r="JV32" s="4"/>
      <c r="JW32" s="4"/>
      <c r="JX32" s="4"/>
      <c r="JY32" s="4"/>
      <c r="JZ32" s="4"/>
      <c r="KA32" s="4"/>
      <c r="KB32" s="4"/>
      <c r="KC32" s="4"/>
      <c r="KD32" s="4"/>
      <c r="KE32" s="4"/>
      <c r="KF32" s="4"/>
      <c r="KG32" s="4"/>
      <c r="KH32" s="4"/>
      <c r="KI32" s="4"/>
      <c r="KJ32" s="4"/>
      <c r="KK32" s="4"/>
      <c r="KL32" s="4"/>
      <c r="KM32" s="4"/>
      <c r="KN32" s="4"/>
      <c r="KO32" s="4"/>
      <c r="KP32" s="4"/>
      <c r="KQ32" s="4"/>
      <c r="KR32" s="4"/>
      <c r="KS32" s="4"/>
      <c r="KT32" s="4"/>
      <c r="KU32" s="4"/>
      <c r="KV32" s="4"/>
      <c r="KW32" s="4"/>
      <c r="KX32" s="4"/>
      <c r="KY32" s="4"/>
      <c r="KZ32" s="4"/>
      <c r="LA32" s="4"/>
      <c r="LB32" s="4"/>
      <c r="LC32" s="4"/>
      <c r="LD32" s="4"/>
      <c r="LE32" s="4"/>
      <c r="LF32" s="4"/>
      <c r="LG32" s="4"/>
      <c r="LH32" s="4"/>
      <c r="LI32" s="4"/>
      <c r="LJ32" s="4"/>
      <c r="LK32" s="4"/>
      <c r="LL32" s="4"/>
      <c r="LM32" s="4"/>
      <c r="LN32" s="4"/>
      <c r="LO32" s="4"/>
      <c r="LP32" s="4"/>
      <c r="LQ32" s="4"/>
      <c r="LR32" s="4"/>
      <c r="LS32" s="4"/>
      <c r="LT32" s="4"/>
      <c r="LU32" s="4"/>
      <c r="LV32" s="4"/>
      <c r="LW32" s="4"/>
      <c r="LX32" s="4"/>
      <c r="LY32" s="4"/>
      <c r="LZ32" s="4"/>
      <c r="MA32" s="4"/>
      <c r="MB32" s="4"/>
      <c r="MC32" s="4"/>
      <c r="MD32" s="4"/>
      <c r="ME32" s="4"/>
      <c r="MF32" s="4"/>
      <c r="MG32" s="4"/>
      <c r="MH32" s="4"/>
      <c r="MI32" s="4"/>
      <c r="MJ32" s="4"/>
      <c r="MK32" s="4"/>
      <c r="ML32" s="4"/>
      <c r="MM32" s="4"/>
      <c r="MN32" s="4"/>
      <c r="MO32" s="4"/>
      <c r="MP32" s="4"/>
      <c r="MQ32" s="4"/>
      <c r="MR32" s="4"/>
      <c r="MS32" s="4"/>
      <c r="MT32" s="4"/>
      <c r="MU32" s="4"/>
      <c r="MV32" s="4"/>
      <c r="MW32" s="4"/>
      <c r="MX32" s="4"/>
      <c r="MY32" s="4"/>
      <c r="MZ32" s="4"/>
      <c r="NA32" s="4"/>
      <c r="NB32" s="4"/>
      <c r="NC32" s="4"/>
      <c r="ND32" s="4"/>
      <c r="NE32" s="4"/>
      <c r="NF32" s="4"/>
      <c r="NG32" s="4"/>
      <c r="NH32" s="4"/>
      <c r="NI32" s="4"/>
      <c r="NJ32" s="4"/>
      <c r="NK32" s="4"/>
      <c r="NL32" s="4"/>
      <c r="NM32" s="4"/>
      <c r="NN32" s="4"/>
      <c r="NO32" s="4"/>
      <c r="NP32" s="4"/>
      <c r="NQ32" s="4"/>
      <c r="NR32" s="4"/>
      <c r="NS32" s="4"/>
      <c r="NT32" s="4"/>
      <c r="NU32" s="4"/>
      <c r="NV32" s="4"/>
      <c r="NW32" s="4"/>
      <c r="NX32" s="4"/>
      <c r="NY32" s="4"/>
      <c r="NZ32" s="4"/>
      <c r="OA32" s="4"/>
      <c r="OB32" s="4"/>
      <c r="OC32" s="4"/>
      <c r="OD32" s="4"/>
      <c r="OE32" s="4"/>
      <c r="OF32" s="4"/>
      <c r="OG32" s="4"/>
      <c r="OH32" s="4"/>
      <c r="OI32" s="4"/>
      <c r="OJ32" s="4"/>
      <c r="OK32" s="4"/>
      <c r="OL32" s="4"/>
      <c r="OM32" s="4"/>
      <c r="ON32" s="4"/>
      <c r="OO32" s="4"/>
      <c r="OP32" s="4"/>
      <c r="OQ32" s="4"/>
      <c r="OR32" s="4"/>
      <c r="OS32" s="4"/>
      <c r="OT32" s="4"/>
      <c r="OU32" s="4"/>
      <c r="OV32" s="4"/>
      <c r="OW32" s="4"/>
      <c r="OX32" s="4"/>
      <c r="OY32" s="4"/>
      <c r="OZ32" s="4"/>
      <c r="PA32" s="4"/>
      <c r="PB32" s="4"/>
      <c r="PC32" s="4"/>
      <c r="PD32" s="4"/>
      <c r="PE32" s="4"/>
      <c r="PF32" s="4"/>
      <c r="PG32" s="4"/>
      <c r="PH32" s="4"/>
      <c r="PI32" s="4"/>
      <c r="PJ32" s="4"/>
      <c r="PK32" s="4"/>
      <c r="PL32" s="4"/>
      <c r="PM32" s="4"/>
      <c r="PN32" s="4"/>
      <c r="PO32" s="4"/>
      <c r="PP32" s="4"/>
      <c r="PQ32" s="4"/>
      <c r="PR32" s="4"/>
      <c r="PS32" s="4"/>
      <c r="PT32" s="4"/>
      <c r="PU32" s="4"/>
      <c r="PV32" s="4"/>
      <c r="PW32" s="4"/>
      <c r="PX32" s="4"/>
      <c r="PY32" s="4"/>
      <c r="PZ32" s="4"/>
      <c r="QA32" s="4"/>
      <c r="QB32" s="4"/>
      <c r="QC32" s="4"/>
      <c r="QD32" s="4"/>
      <c r="QE32" s="4"/>
      <c r="QF32" s="4"/>
      <c r="QG32" s="4"/>
      <c r="QH32" s="4"/>
      <c r="QI32" s="4"/>
      <c r="QJ32" s="4"/>
      <c r="QK32" s="4"/>
      <c r="QL32" s="4"/>
      <c r="QM32" s="4"/>
      <c r="QN32" s="4"/>
      <c r="QO32" s="4"/>
      <c r="QP32" s="4"/>
      <c r="QQ32" s="4"/>
      <c r="QR32" s="4"/>
      <c r="QS32" s="4"/>
      <c r="QT32" s="4"/>
      <c r="QU32" s="4"/>
      <c r="QV32" s="4"/>
      <c r="QW32" s="4"/>
      <c r="QX32" s="4"/>
      <c r="QY32" s="4"/>
      <c r="QZ32" s="4"/>
      <c r="RA32" s="4"/>
      <c r="RB32" s="4"/>
      <c r="RC32" s="4"/>
      <c r="RD32" s="4"/>
      <c r="RE32" s="4"/>
      <c r="RF32" s="4"/>
      <c r="RG32" s="4"/>
      <c r="RH32" s="4"/>
      <c r="RI32" s="4"/>
      <c r="RJ32" s="4"/>
      <c r="RK32" s="4"/>
      <c r="RL32" s="4"/>
      <c r="RM32" s="4"/>
      <c r="RN32" s="4"/>
      <c r="RO32" s="4"/>
      <c r="RP32" s="4"/>
      <c r="RQ32" s="4"/>
      <c r="RR32" s="4"/>
      <c r="RS32" s="4"/>
      <c r="RT32" s="4"/>
      <c r="RU32" s="4"/>
      <c r="RV32" s="4"/>
      <c r="RW32" s="4"/>
      <c r="RX32" s="4"/>
      <c r="RY32" s="4"/>
      <c r="RZ32" s="4"/>
      <c r="SA32" s="4"/>
      <c r="SB32" s="4"/>
      <c r="SC32" s="4"/>
      <c r="SD32" s="4"/>
      <c r="SE32" s="4"/>
      <c r="SF32" s="4"/>
      <c r="SG32" s="4"/>
      <c r="SH32" s="4"/>
      <c r="SI32" s="4"/>
      <c r="SJ32" s="4"/>
      <c r="SK32" s="4"/>
      <c r="SL32" s="4"/>
      <c r="SM32" s="4"/>
      <c r="SN32" s="4"/>
      <c r="SO32" s="4"/>
      <c r="SP32" s="4"/>
      <c r="SQ32" s="4"/>
      <c r="SR32" s="4"/>
      <c r="SS32" s="4"/>
      <c r="ST32" s="4"/>
      <c r="SU32" s="4"/>
      <c r="SV32" s="4"/>
      <c r="SW32" s="4"/>
      <c r="SX32" s="4"/>
      <c r="SY32" s="4"/>
      <c r="SZ32" s="4"/>
      <c r="TA32" s="4"/>
      <c r="TB32" s="4"/>
      <c r="TC32" s="4"/>
      <c r="TD32" s="4"/>
      <c r="TE32" s="4"/>
      <c r="TF32" s="4"/>
      <c r="TG32" s="4"/>
      <c r="TH32" s="4"/>
      <c r="TI32" s="4"/>
      <c r="TJ32" s="4"/>
      <c r="TK32" s="4"/>
      <c r="TL32" s="4"/>
      <c r="TM32" s="4"/>
      <c r="TN32" s="4"/>
      <c r="TO32" s="4"/>
      <c r="TP32" s="4"/>
      <c r="TQ32" s="4"/>
      <c r="TR32" s="4"/>
      <c r="TS32" s="4"/>
      <c r="TT32" s="4"/>
      <c r="TU32" s="4"/>
      <c r="TV32" s="4"/>
      <c r="TW32" s="4"/>
      <c r="TX32" s="4"/>
      <c r="TY32" s="4"/>
      <c r="TZ32" s="4"/>
      <c r="UA32" s="4"/>
      <c r="UB32" s="4"/>
      <c r="UC32" s="4"/>
      <c r="UD32" s="4"/>
      <c r="UE32" s="4"/>
      <c r="UF32" s="4"/>
      <c r="UG32" s="4"/>
      <c r="UH32" s="4"/>
      <c r="UI32" s="4"/>
      <c r="UJ32" s="4"/>
      <c r="UK32" s="4"/>
      <c r="UL32" s="4"/>
      <c r="UM32" s="4"/>
      <c r="UN32" s="4"/>
      <c r="UO32" s="4"/>
      <c r="UP32" s="4"/>
      <c r="UQ32" s="4"/>
      <c r="UR32" s="4"/>
      <c r="US32" s="4"/>
      <c r="UT32" s="4"/>
      <c r="UU32" s="4"/>
      <c r="UV32" s="4"/>
      <c r="UW32" s="4"/>
      <c r="UX32" s="4"/>
      <c r="UY32" s="4"/>
      <c r="UZ32" s="4"/>
      <c r="VA32" s="4"/>
      <c r="VB32" s="4"/>
      <c r="VC32" s="4"/>
      <c r="VD32" s="4"/>
      <c r="VE32" s="4"/>
      <c r="VF32" s="4"/>
      <c r="VG32" s="4"/>
      <c r="VH32" s="4"/>
      <c r="VI32" s="4"/>
      <c r="VJ32" s="4"/>
      <c r="VK32" s="4"/>
      <c r="VL32" s="4"/>
      <c r="VM32" s="4"/>
      <c r="VN32" s="4"/>
      <c r="VO32" s="4"/>
      <c r="VP32" s="4"/>
      <c r="VQ32" s="4"/>
      <c r="VR32" s="4"/>
      <c r="VS32" s="4"/>
      <c r="VT32" s="4"/>
      <c r="VU32" s="4"/>
      <c r="VV32" s="4"/>
      <c r="VW32" s="4"/>
      <c r="VX32" s="4"/>
      <c r="VY32" s="4"/>
      <c r="VZ32" s="4"/>
      <c r="WA32" s="4"/>
      <c r="WB32" s="4"/>
      <c r="WC32" s="4"/>
      <c r="WD32" s="4"/>
      <c r="WE32" s="4"/>
      <c r="WF32" s="4"/>
      <c r="WG32" s="4"/>
      <c r="WH32" s="4"/>
      <c r="WI32" s="4"/>
      <c r="WJ32" s="4"/>
      <c r="WK32" s="4"/>
      <c r="WL32" s="4"/>
      <c r="WM32" s="4"/>
      <c r="WN32" s="4"/>
      <c r="WO32" s="4"/>
      <c r="WP32" s="4"/>
      <c r="WQ32" s="4"/>
      <c r="WR32" s="4"/>
      <c r="WS32" s="4"/>
      <c r="WT32" s="4"/>
      <c r="WU32" s="4"/>
      <c r="WV32" s="4"/>
      <c r="WW32" s="4"/>
      <c r="WX32" s="4"/>
      <c r="WY32" s="4"/>
      <c r="WZ32" s="4"/>
      <c r="XA32" s="4"/>
      <c r="XB32" s="4"/>
      <c r="XC32" s="4"/>
      <c r="XD32" s="4"/>
      <c r="XE32" s="4"/>
      <c r="XF32" s="4"/>
      <c r="XG32" s="4"/>
      <c r="XH32" s="4"/>
      <c r="XI32" s="4"/>
      <c r="XJ32" s="4"/>
      <c r="XK32" s="4"/>
      <c r="XL32" s="4"/>
      <c r="XM32" s="4"/>
      <c r="XN32" s="4"/>
      <c r="XO32" s="4"/>
      <c r="XP32" s="4"/>
      <c r="XQ32" s="4"/>
      <c r="XR32" s="4"/>
      <c r="XS32" s="4"/>
      <c r="XT32" s="4"/>
      <c r="XU32" s="4"/>
      <c r="XV32" s="4"/>
      <c r="XW32" s="4"/>
      <c r="XX32" s="4"/>
      <c r="XY32" s="4"/>
      <c r="XZ32" s="4"/>
      <c r="YA32" s="4"/>
      <c r="YB32" s="4"/>
      <c r="YC32" s="4"/>
      <c r="YD32" s="4"/>
      <c r="YE32" s="4"/>
      <c r="YF32" s="4"/>
      <c r="YG32" s="4"/>
      <c r="YH32" s="4"/>
      <c r="YI32" s="4"/>
      <c r="YJ32" s="4"/>
      <c r="YK32" s="4"/>
      <c r="YL32" s="4"/>
      <c r="YM32" s="4"/>
      <c r="YN32" s="4"/>
      <c r="YO32" s="4"/>
      <c r="YP32" s="4"/>
      <c r="YQ32" s="4"/>
      <c r="YR32" s="4"/>
      <c r="YS32" s="4"/>
      <c r="YT32" s="4"/>
      <c r="YU32" s="4"/>
      <c r="YV32" s="4"/>
      <c r="YW32" s="4"/>
      <c r="YX32" s="4"/>
      <c r="YY32" s="4"/>
      <c r="YZ32" s="4"/>
      <c r="ZA32" s="4"/>
      <c r="ZB32" s="4"/>
      <c r="ZC32" s="4"/>
      <c r="ZD32" s="4"/>
      <c r="ZE32" s="4"/>
      <c r="ZF32" s="4"/>
      <c r="ZG32" s="4"/>
      <c r="ZH32" s="4"/>
      <c r="ZI32" s="4"/>
      <c r="ZJ32" s="4"/>
      <c r="ZK32" s="4"/>
      <c r="ZL32" s="4"/>
      <c r="ZM32" s="4"/>
      <c r="ZN32" s="4"/>
      <c r="ZO32" s="4"/>
      <c r="ZP32" s="4"/>
      <c r="ZQ32" s="4"/>
      <c r="ZR32" s="4"/>
      <c r="ZS32" s="4"/>
      <c r="ZT32" s="4"/>
      <c r="ZU32" s="4"/>
      <c r="ZV32" s="4"/>
      <c r="ZW32" s="4"/>
      <c r="ZX32" s="4"/>
      <c r="ZY32" s="4"/>
      <c r="ZZ32" s="4"/>
      <c r="AAA32" s="4"/>
      <c r="AAB32" s="4"/>
      <c r="AAC32" s="4"/>
      <c r="AAD32" s="4"/>
      <c r="AAE32" s="4"/>
      <c r="AAF32" s="4"/>
      <c r="AAG32" s="4"/>
      <c r="AAH32" s="4"/>
      <c r="AAI32" s="4"/>
      <c r="AAJ32" s="4"/>
      <c r="AAK32" s="4"/>
      <c r="AAL32" s="4"/>
      <c r="AAM32" s="4"/>
      <c r="AAN32" s="4"/>
      <c r="AAO32" s="4"/>
      <c r="AAP32" s="4"/>
      <c r="AAQ32" s="4"/>
      <c r="AAR32" s="4"/>
      <c r="AAS32" s="4"/>
      <c r="AAT32" s="4"/>
      <c r="AAU32" s="4"/>
      <c r="AAV32" s="4"/>
      <c r="AAW32" s="4"/>
      <c r="AAX32" s="4"/>
      <c r="AAY32" s="4"/>
      <c r="AAZ32" s="4"/>
      <c r="ABA32" s="4"/>
      <c r="ABB32" s="4"/>
      <c r="ABC32" s="4"/>
      <c r="ABD32" s="4"/>
      <c r="ABE32" s="4"/>
      <c r="ABF32" s="4"/>
      <c r="ABG32" s="4"/>
      <c r="ABH32" s="4"/>
      <c r="ABI32" s="4"/>
      <c r="ABJ32" s="4"/>
      <c r="ABK32" s="4"/>
      <c r="ABL32" s="4"/>
      <c r="ABM32" s="4"/>
      <c r="ABN32" s="4"/>
      <c r="ABO32" s="4"/>
      <c r="ABP32" s="4"/>
      <c r="ABQ32" s="4"/>
      <c r="ABR32" s="4"/>
      <c r="ABS32" s="4"/>
      <c r="ABT32" s="4"/>
      <c r="ABU32" s="4"/>
      <c r="ABV32" s="4"/>
      <c r="ABW32" s="4"/>
      <c r="ABX32" s="4"/>
      <c r="ABY32" s="4"/>
      <c r="ABZ32" s="4"/>
      <c r="ACA32" s="4"/>
      <c r="ACB32" s="4"/>
      <c r="ACC32" s="4"/>
      <c r="ACD32" s="4"/>
      <c r="ACE32" s="4"/>
      <c r="ACF32" s="4"/>
      <c r="ACG32" s="4"/>
      <c r="ACH32" s="4"/>
      <c r="ACI32" s="4"/>
      <c r="ACJ32" s="4"/>
      <c r="ACK32" s="4"/>
      <c r="ACL32" s="4"/>
      <c r="ACM32" s="4"/>
      <c r="ACN32" s="4"/>
      <c r="ACO32" s="4"/>
      <c r="ACP32" s="4"/>
      <c r="ACQ32" s="4"/>
      <c r="ACR32" s="4"/>
      <c r="ACS32" s="4"/>
      <c r="ACT32" s="4"/>
      <c r="ACU32" s="4"/>
      <c r="ACV32" s="4"/>
      <c r="ACW32" s="4"/>
      <c r="ACX32" s="4"/>
      <c r="ACY32" s="4"/>
      <c r="ACZ32" s="4"/>
      <c r="ADA32" s="4"/>
      <c r="ADB32" s="4"/>
      <c r="ADC32" s="4"/>
      <c r="ADD32" s="4"/>
      <c r="ADE32" s="4"/>
      <c r="ADF32" s="4"/>
      <c r="ADG32" s="4"/>
      <c r="ADH32" s="4"/>
      <c r="ADI32" s="4"/>
      <c r="ADJ32" s="4"/>
      <c r="ADK32" s="4"/>
      <c r="ADL32" s="4"/>
      <c r="ADM32" s="4"/>
      <c r="ADN32" s="4"/>
      <c r="ADO32" s="4"/>
      <c r="ADP32" s="4"/>
      <c r="ADQ32" s="4"/>
      <c r="ADR32" s="4"/>
      <c r="ADS32" s="4"/>
      <c r="ADT32" s="4"/>
      <c r="ADU32" s="4"/>
      <c r="ADV32" s="4"/>
      <c r="ADW32" s="4"/>
      <c r="ADX32" s="4"/>
      <c r="ADY32" s="4"/>
      <c r="ADZ32" s="4"/>
      <c r="AEA32" s="4"/>
      <c r="AEB32" s="4"/>
      <c r="AEC32" s="4"/>
      <c r="AED32" s="4"/>
      <c r="AEE32" s="4"/>
      <c r="AEF32" s="4"/>
      <c r="AEG32" s="4"/>
      <c r="AEH32" s="4"/>
      <c r="AEI32" s="4"/>
      <c r="AEJ32" s="4"/>
      <c r="AEK32" s="4"/>
      <c r="AEL32" s="4"/>
      <c r="AEM32" s="4"/>
      <c r="AEN32" s="4"/>
      <c r="AEO32" s="4"/>
      <c r="AEP32" s="4"/>
      <c r="AEQ32" s="4"/>
      <c r="AER32" s="4"/>
      <c r="AES32" s="4"/>
      <c r="AET32" s="4"/>
      <c r="AEU32" s="4"/>
      <c r="AEV32" s="4"/>
      <c r="AEW32" s="4"/>
      <c r="AEX32" s="4"/>
      <c r="AEY32" s="4"/>
      <c r="AEZ32" s="4"/>
      <c r="AFA32" s="4"/>
      <c r="AFB32" s="4"/>
      <c r="AFC32" s="4"/>
      <c r="AFD32" s="4"/>
      <c r="AFE32" s="4"/>
      <c r="AFF32" s="4"/>
      <c r="AFG32" s="4"/>
      <c r="AFH32" s="4"/>
      <c r="AFI32" s="4"/>
      <c r="AFJ32" s="4"/>
      <c r="AFK32" s="4"/>
      <c r="AFL32" s="4"/>
      <c r="AFM32" s="4"/>
      <c r="AFN32" s="4"/>
      <c r="AFO32" s="4"/>
      <c r="AFP32" s="4"/>
      <c r="AFQ32" s="4"/>
      <c r="AFR32" s="4"/>
      <c r="AFS32" s="4"/>
      <c r="AFT32" s="4"/>
      <c r="AFU32" s="4"/>
      <c r="AFV32" s="4"/>
      <c r="AFW32" s="4"/>
      <c r="AFX32" s="4"/>
      <c r="AFY32" s="4"/>
      <c r="AFZ32" s="4"/>
      <c r="AGA32" s="4"/>
      <c r="AGB32" s="4"/>
      <c r="AGC32" s="4"/>
      <c r="AGD32" s="4"/>
      <c r="AGE32" s="4"/>
      <c r="AGF32" s="4"/>
      <c r="AGG32" s="4"/>
      <c r="AGH32" s="4"/>
      <c r="AGI32" s="4"/>
      <c r="AGJ32" s="4"/>
      <c r="AGK32" s="4"/>
      <c r="AGL32" s="4"/>
      <c r="AGM32" s="4"/>
      <c r="AGN32" s="4"/>
      <c r="AGO32" s="4"/>
      <c r="AGP32" s="4"/>
      <c r="AGQ32" s="4"/>
      <c r="AGR32" s="4"/>
      <c r="AGS32" s="4"/>
      <c r="AGT32" s="4"/>
      <c r="AGU32" s="4"/>
      <c r="AGV32" s="4"/>
      <c r="AGW32" s="4"/>
      <c r="AGX32" s="4"/>
      <c r="AGY32" s="4"/>
      <c r="AGZ32" s="4"/>
      <c r="AHA32" s="4"/>
      <c r="AHB32" s="4"/>
      <c r="AHC32" s="4"/>
      <c r="AHD32" s="4"/>
      <c r="AHE32" s="4"/>
      <c r="AHF32" s="4"/>
      <c r="AHG32" s="4"/>
      <c r="AHH32" s="4"/>
      <c r="AHI32" s="4"/>
      <c r="AHJ32" s="4"/>
      <c r="AHK32" s="4"/>
      <c r="AHL32" s="4"/>
      <c r="AHM32" s="4"/>
      <c r="AHN32" s="4"/>
      <c r="AHO32" s="4"/>
      <c r="AHP32" s="4"/>
      <c r="AHQ32" s="4"/>
      <c r="AHR32" s="4"/>
      <c r="AHS32" s="4"/>
      <c r="AHT32" s="4"/>
      <c r="AHU32" s="4"/>
      <c r="AHV32" s="4"/>
      <c r="AHW32" s="4"/>
      <c r="AHX32" s="4"/>
      <c r="AHY32" s="4"/>
      <c r="AHZ32" s="4"/>
      <c r="AIA32" s="4"/>
      <c r="AIB32" s="4"/>
      <c r="AIC32" s="4"/>
      <c r="AID32" s="4"/>
      <c r="AIE32" s="4"/>
      <c r="AIF32" s="4"/>
      <c r="AIG32" s="4"/>
      <c r="AIH32" s="4"/>
      <c r="AII32" s="4"/>
      <c r="AIJ32" s="4"/>
      <c r="AIK32" s="4"/>
      <c r="AIL32" s="4"/>
      <c r="AIM32" s="4"/>
      <c r="AIN32" s="4"/>
      <c r="AIO32" s="4"/>
      <c r="AIP32" s="4"/>
      <c r="AIQ32" s="4"/>
      <c r="AIR32" s="4"/>
      <c r="AIS32" s="4"/>
      <c r="AIT32" s="4"/>
      <c r="AIU32" s="4"/>
      <c r="AIV32" s="4"/>
      <c r="AIW32" s="4"/>
      <c r="AIX32" s="4"/>
      <c r="AIY32" s="4"/>
      <c r="AIZ32" s="4"/>
      <c r="AJA32" s="4"/>
      <c r="AJB32" s="4"/>
      <c r="AJC32" s="4"/>
      <c r="AJD32" s="4"/>
      <c r="AJE32" s="4"/>
      <c r="AJF32" s="4"/>
      <c r="AJG32" s="4"/>
      <c r="AJH32" s="4"/>
      <c r="AJI32" s="4"/>
      <c r="AJJ32" s="4"/>
      <c r="AJK32" s="4"/>
      <c r="AJL32" s="4"/>
      <c r="AJM32" s="4"/>
      <c r="AJN32" s="4"/>
      <c r="AJO32" s="4"/>
      <c r="AJP32" s="4"/>
      <c r="AJQ32" s="4"/>
      <c r="AJR32" s="4"/>
      <c r="AJS32" s="4"/>
      <c r="AJT32" s="4"/>
      <c r="AJU32" s="4"/>
      <c r="AJV32" s="4"/>
      <c r="AJW32" s="4"/>
      <c r="AJX32" s="4"/>
      <c r="AJY32" s="4"/>
      <c r="AJZ32" s="4"/>
      <c r="AKA32" s="4"/>
      <c r="AKB32" s="4"/>
      <c r="AKC32" s="4"/>
      <c r="AKD32" s="4"/>
      <c r="AKE32" s="4"/>
      <c r="AKF32" s="4"/>
      <c r="AKG32" s="4"/>
      <c r="AKH32" s="4"/>
      <c r="AKI32" s="4"/>
      <c r="AKJ32" s="4"/>
      <c r="AKK32" s="4"/>
      <c r="AKL32" s="4"/>
      <c r="AKM32" s="4"/>
      <c r="AKN32" s="4"/>
      <c r="AKO32" s="4"/>
      <c r="AKP32" s="4"/>
      <c r="AKQ32" s="4"/>
      <c r="AKR32" s="4"/>
      <c r="AKS32" s="4"/>
      <c r="AKT32" s="4"/>
      <c r="AKU32" s="4"/>
      <c r="AKV32" s="4"/>
      <c r="AKW32" s="4"/>
      <c r="AKX32" s="4"/>
      <c r="AKY32" s="4"/>
      <c r="AKZ32" s="4"/>
      <c r="ALA32" s="4"/>
      <c r="ALB32" s="4"/>
      <c r="ALC32" s="4"/>
      <c r="ALD32" s="4"/>
      <c r="ALE32" s="4"/>
      <c r="ALF32" s="4"/>
      <c r="ALG32" s="4"/>
      <c r="ALH32" s="4"/>
      <c r="ALI32" s="4"/>
      <c r="ALJ32" s="4"/>
      <c r="ALK32" s="4"/>
      <c r="ALL32" s="4"/>
      <c r="ALM32" s="4"/>
      <c r="ALN32" s="4"/>
      <c r="ALO32" s="4"/>
      <c r="ALP32" s="4"/>
      <c r="ALQ32" s="4"/>
      <c r="ALR32" s="4"/>
      <c r="ALS32" s="4"/>
      <c r="ALT32" s="4"/>
      <c r="ALU32" s="4"/>
      <c r="ALV32" s="4"/>
      <c r="ALW32" s="4"/>
      <c r="ALX32" s="4"/>
      <c r="ALY32" s="4"/>
      <c r="ALZ32" s="4"/>
      <c r="AMA32" s="4"/>
      <c r="AMB32" s="4"/>
      <c r="AMC32" s="4"/>
      <c r="AMD32" s="4"/>
      <c r="AME32" s="4"/>
      <c r="AMF32" s="4"/>
      <c r="AMG32" s="4"/>
      <c r="AMH32" s="4"/>
      <c r="AMI32" s="4"/>
      <c r="AMJ32" s="4"/>
    </row>
    <row r="33" customFormat="false" ht="15.75" hidden="false" customHeight="false" outlineLevel="0" collapsed="false">
      <c r="A33" s="23" t="s">
        <v>154</v>
      </c>
      <c r="B33" s="4" t="s">
        <v>229</v>
      </c>
      <c r="C33" s="4" t="s">
        <v>216</v>
      </c>
      <c r="D33" s="4"/>
      <c r="E33" s="4" t="n">
        <v>3</v>
      </c>
      <c r="F33" s="4" t="s">
        <v>215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  <c r="IX33" s="4"/>
      <c r="IY33" s="4"/>
      <c r="IZ33" s="4"/>
      <c r="JA33" s="4"/>
      <c r="JB33" s="4"/>
      <c r="JC33" s="4"/>
      <c r="JD33" s="4"/>
      <c r="JE33" s="4"/>
      <c r="JF33" s="4"/>
      <c r="JG33" s="4"/>
      <c r="JH33" s="4"/>
      <c r="JI33" s="4"/>
      <c r="JJ33" s="4"/>
      <c r="JK33" s="4"/>
      <c r="JL33" s="4"/>
      <c r="JM33" s="4"/>
      <c r="JN33" s="4"/>
      <c r="JO33" s="4"/>
      <c r="JP33" s="4"/>
      <c r="JQ33" s="4"/>
      <c r="JR33" s="4"/>
      <c r="JS33" s="4"/>
      <c r="JT33" s="4"/>
      <c r="JU33" s="4"/>
      <c r="JV33" s="4"/>
      <c r="JW33" s="4"/>
      <c r="JX33" s="4"/>
      <c r="JY33" s="4"/>
      <c r="JZ33" s="4"/>
      <c r="KA33" s="4"/>
      <c r="KB33" s="4"/>
      <c r="KC33" s="4"/>
      <c r="KD33" s="4"/>
      <c r="KE33" s="4"/>
      <c r="KF33" s="4"/>
      <c r="KG33" s="4"/>
      <c r="KH33" s="4"/>
      <c r="KI33" s="4"/>
      <c r="KJ33" s="4"/>
      <c r="KK33" s="4"/>
      <c r="KL33" s="4"/>
      <c r="KM33" s="4"/>
      <c r="KN33" s="4"/>
      <c r="KO33" s="4"/>
      <c r="KP33" s="4"/>
      <c r="KQ33" s="4"/>
      <c r="KR33" s="4"/>
      <c r="KS33" s="4"/>
      <c r="KT33" s="4"/>
      <c r="KU33" s="4"/>
      <c r="KV33" s="4"/>
      <c r="KW33" s="4"/>
      <c r="KX33" s="4"/>
      <c r="KY33" s="4"/>
      <c r="KZ33" s="4"/>
      <c r="LA33" s="4"/>
      <c r="LB33" s="4"/>
      <c r="LC33" s="4"/>
      <c r="LD33" s="4"/>
      <c r="LE33" s="4"/>
      <c r="LF33" s="4"/>
      <c r="LG33" s="4"/>
      <c r="LH33" s="4"/>
      <c r="LI33" s="4"/>
      <c r="LJ33" s="4"/>
      <c r="LK33" s="4"/>
      <c r="LL33" s="4"/>
      <c r="LM33" s="4"/>
      <c r="LN33" s="4"/>
      <c r="LO33" s="4"/>
      <c r="LP33" s="4"/>
      <c r="LQ33" s="4"/>
      <c r="LR33" s="4"/>
      <c r="LS33" s="4"/>
      <c r="LT33" s="4"/>
      <c r="LU33" s="4"/>
      <c r="LV33" s="4"/>
      <c r="LW33" s="4"/>
      <c r="LX33" s="4"/>
      <c r="LY33" s="4"/>
      <c r="LZ33" s="4"/>
      <c r="MA33" s="4"/>
      <c r="MB33" s="4"/>
      <c r="MC33" s="4"/>
      <c r="MD33" s="4"/>
      <c r="ME33" s="4"/>
      <c r="MF33" s="4"/>
      <c r="MG33" s="4"/>
      <c r="MH33" s="4"/>
      <c r="MI33" s="4"/>
      <c r="MJ33" s="4"/>
      <c r="MK33" s="4"/>
      <c r="ML33" s="4"/>
      <c r="MM33" s="4"/>
      <c r="MN33" s="4"/>
      <c r="MO33" s="4"/>
      <c r="MP33" s="4"/>
      <c r="MQ33" s="4"/>
      <c r="MR33" s="4"/>
      <c r="MS33" s="4"/>
      <c r="MT33" s="4"/>
      <c r="MU33" s="4"/>
      <c r="MV33" s="4"/>
      <c r="MW33" s="4"/>
      <c r="MX33" s="4"/>
      <c r="MY33" s="4"/>
      <c r="MZ33" s="4"/>
      <c r="NA33" s="4"/>
      <c r="NB33" s="4"/>
      <c r="NC33" s="4"/>
      <c r="ND33" s="4"/>
      <c r="NE33" s="4"/>
      <c r="NF33" s="4"/>
      <c r="NG33" s="4"/>
      <c r="NH33" s="4"/>
      <c r="NI33" s="4"/>
      <c r="NJ33" s="4"/>
      <c r="NK33" s="4"/>
      <c r="NL33" s="4"/>
      <c r="NM33" s="4"/>
      <c r="NN33" s="4"/>
      <c r="NO33" s="4"/>
      <c r="NP33" s="4"/>
      <c r="NQ33" s="4"/>
      <c r="NR33" s="4"/>
      <c r="NS33" s="4"/>
      <c r="NT33" s="4"/>
      <c r="NU33" s="4"/>
      <c r="NV33" s="4"/>
      <c r="NW33" s="4"/>
      <c r="NX33" s="4"/>
      <c r="NY33" s="4"/>
      <c r="NZ33" s="4"/>
      <c r="OA33" s="4"/>
      <c r="OB33" s="4"/>
      <c r="OC33" s="4"/>
      <c r="OD33" s="4"/>
      <c r="OE33" s="4"/>
      <c r="OF33" s="4"/>
      <c r="OG33" s="4"/>
      <c r="OH33" s="4"/>
      <c r="OI33" s="4"/>
      <c r="OJ33" s="4"/>
      <c r="OK33" s="4"/>
      <c r="OL33" s="4"/>
      <c r="OM33" s="4"/>
      <c r="ON33" s="4"/>
      <c r="OO33" s="4"/>
      <c r="OP33" s="4"/>
      <c r="OQ33" s="4"/>
      <c r="OR33" s="4"/>
      <c r="OS33" s="4"/>
      <c r="OT33" s="4"/>
      <c r="OU33" s="4"/>
      <c r="OV33" s="4"/>
      <c r="OW33" s="4"/>
      <c r="OX33" s="4"/>
      <c r="OY33" s="4"/>
      <c r="OZ33" s="4"/>
      <c r="PA33" s="4"/>
      <c r="PB33" s="4"/>
      <c r="PC33" s="4"/>
      <c r="PD33" s="4"/>
      <c r="PE33" s="4"/>
      <c r="PF33" s="4"/>
      <c r="PG33" s="4"/>
      <c r="PH33" s="4"/>
      <c r="PI33" s="4"/>
      <c r="PJ33" s="4"/>
      <c r="PK33" s="4"/>
      <c r="PL33" s="4"/>
      <c r="PM33" s="4"/>
      <c r="PN33" s="4"/>
      <c r="PO33" s="4"/>
      <c r="PP33" s="4"/>
      <c r="PQ33" s="4"/>
      <c r="PR33" s="4"/>
      <c r="PS33" s="4"/>
      <c r="PT33" s="4"/>
      <c r="PU33" s="4"/>
      <c r="PV33" s="4"/>
      <c r="PW33" s="4"/>
      <c r="PX33" s="4"/>
      <c r="PY33" s="4"/>
      <c r="PZ33" s="4"/>
      <c r="QA33" s="4"/>
      <c r="QB33" s="4"/>
      <c r="QC33" s="4"/>
      <c r="QD33" s="4"/>
      <c r="QE33" s="4"/>
      <c r="QF33" s="4"/>
      <c r="QG33" s="4"/>
      <c r="QH33" s="4"/>
      <c r="QI33" s="4"/>
      <c r="QJ33" s="4"/>
      <c r="QK33" s="4"/>
      <c r="QL33" s="4"/>
      <c r="QM33" s="4"/>
      <c r="QN33" s="4"/>
      <c r="QO33" s="4"/>
      <c r="QP33" s="4"/>
      <c r="QQ33" s="4"/>
      <c r="QR33" s="4"/>
      <c r="QS33" s="4"/>
      <c r="QT33" s="4"/>
      <c r="QU33" s="4"/>
      <c r="QV33" s="4"/>
      <c r="QW33" s="4"/>
      <c r="QX33" s="4"/>
      <c r="QY33" s="4"/>
      <c r="QZ33" s="4"/>
      <c r="RA33" s="4"/>
      <c r="RB33" s="4"/>
      <c r="RC33" s="4"/>
      <c r="RD33" s="4"/>
      <c r="RE33" s="4"/>
      <c r="RF33" s="4"/>
      <c r="RG33" s="4"/>
      <c r="RH33" s="4"/>
      <c r="RI33" s="4"/>
      <c r="RJ33" s="4"/>
      <c r="RK33" s="4"/>
      <c r="RL33" s="4"/>
      <c r="RM33" s="4"/>
      <c r="RN33" s="4"/>
      <c r="RO33" s="4"/>
      <c r="RP33" s="4"/>
      <c r="RQ33" s="4"/>
      <c r="RR33" s="4"/>
      <c r="RS33" s="4"/>
      <c r="RT33" s="4"/>
      <c r="RU33" s="4"/>
      <c r="RV33" s="4"/>
      <c r="RW33" s="4"/>
      <c r="RX33" s="4"/>
      <c r="RY33" s="4"/>
      <c r="RZ33" s="4"/>
      <c r="SA33" s="4"/>
      <c r="SB33" s="4"/>
      <c r="SC33" s="4"/>
      <c r="SD33" s="4"/>
      <c r="SE33" s="4"/>
      <c r="SF33" s="4"/>
      <c r="SG33" s="4"/>
      <c r="SH33" s="4"/>
      <c r="SI33" s="4"/>
      <c r="SJ33" s="4"/>
      <c r="SK33" s="4"/>
      <c r="SL33" s="4"/>
      <c r="SM33" s="4"/>
      <c r="SN33" s="4"/>
      <c r="SO33" s="4"/>
      <c r="SP33" s="4"/>
      <c r="SQ33" s="4"/>
      <c r="SR33" s="4"/>
      <c r="SS33" s="4"/>
      <c r="ST33" s="4"/>
      <c r="SU33" s="4"/>
      <c r="SV33" s="4"/>
      <c r="SW33" s="4"/>
      <c r="SX33" s="4"/>
      <c r="SY33" s="4"/>
      <c r="SZ33" s="4"/>
      <c r="TA33" s="4"/>
      <c r="TB33" s="4"/>
      <c r="TC33" s="4"/>
      <c r="TD33" s="4"/>
      <c r="TE33" s="4"/>
      <c r="TF33" s="4"/>
      <c r="TG33" s="4"/>
      <c r="TH33" s="4"/>
      <c r="TI33" s="4"/>
      <c r="TJ33" s="4"/>
      <c r="TK33" s="4"/>
      <c r="TL33" s="4"/>
      <c r="TM33" s="4"/>
      <c r="TN33" s="4"/>
      <c r="TO33" s="4"/>
      <c r="TP33" s="4"/>
      <c r="TQ33" s="4"/>
      <c r="TR33" s="4"/>
      <c r="TS33" s="4"/>
      <c r="TT33" s="4"/>
      <c r="TU33" s="4"/>
      <c r="TV33" s="4"/>
      <c r="TW33" s="4"/>
      <c r="TX33" s="4"/>
      <c r="TY33" s="4"/>
      <c r="TZ33" s="4"/>
      <c r="UA33" s="4"/>
      <c r="UB33" s="4"/>
      <c r="UC33" s="4"/>
      <c r="UD33" s="4"/>
      <c r="UE33" s="4"/>
      <c r="UF33" s="4"/>
      <c r="UG33" s="4"/>
      <c r="UH33" s="4"/>
      <c r="UI33" s="4"/>
      <c r="UJ33" s="4"/>
      <c r="UK33" s="4"/>
      <c r="UL33" s="4"/>
      <c r="UM33" s="4"/>
      <c r="UN33" s="4"/>
      <c r="UO33" s="4"/>
      <c r="UP33" s="4"/>
      <c r="UQ33" s="4"/>
      <c r="UR33" s="4"/>
      <c r="US33" s="4"/>
      <c r="UT33" s="4"/>
      <c r="UU33" s="4"/>
      <c r="UV33" s="4"/>
      <c r="UW33" s="4"/>
      <c r="UX33" s="4"/>
      <c r="UY33" s="4"/>
      <c r="UZ33" s="4"/>
      <c r="VA33" s="4"/>
      <c r="VB33" s="4"/>
      <c r="VC33" s="4"/>
      <c r="VD33" s="4"/>
      <c r="VE33" s="4"/>
      <c r="VF33" s="4"/>
      <c r="VG33" s="4"/>
      <c r="VH33" s="4"/>
      <c r="VI33" s="4"/>
      <c r="VJ33" s="4"/>
      <c r="VK33" s="4"/>
      <c r="VL33" s="4"/>
      <c r="VM33" s="4"/>
      <c r="VN33" s="4"/>
      <c r="VO33" s="4"/>
      <c r="VP33" s="4"/>
      <c r="VQ33" s="4"/>
      <c r="VR33" s="4"/>
      <c r="VS33" s="4"/>
      <c r="VT33" s="4"/>
      <c r="VU33" s="4"/>
      <c r="VV33" s="4"/>
      <c r="VW33" s="4"/>
      <c r="VX33" s="4"/>
      <c r="VY33" s="4"/>
      <c r="VZ33" s="4"/>
      <c r="WA33" s="4"/>
      <c r="WB33" s="4"/>
      <c r="WC33" s="4"/>
      <c r="WD33" s="4"/>
      <c r="WE33" s="4"/>
      <c r="WF33" s="4"/>
      <c r="WG33" s="4"/>
      <c r="WH33" s="4"/>
      <c r="WI33" s="4"/>
      <c r="WJ33" s="4"/>
      <c r="WK33" s="4"/>
      <c r="WL33" s="4"/>
      <c r="WM33" s="4"/>
      <c r="WN33" s="4"/>
      <c r="WO33" s="4"/>
      <c r="WP33" s="4"/>
      <c r="WQ33" s="4"/>
      <c r="WR33" s="4"/>
      <c r="WS33" s="4"/>
      <c r="WT33" s="4"/>
      <c r="WU33" s="4"/>
      <c r="WV33" s="4"/>
      <c r="WW33" s="4"/>
      <c r="WX33" s="4"/>
      <c r="WY33" s="4"/>
      <c r="WZ33" s="4"/>
      <c r="XA33" s="4"/>
      <c r="XB33" s="4"/>
      <c r="XC33" s="4"/>
      <c r="XD33" s="4"/>
      <c r="XE33" s="4"/>
      <c r="XF33" s="4"/>
      <c r="XG33" s="4"/>
      <c r="XH33" s="4"/>
      <c r="XI33" s="4"/>
      <c r="XJ33" s="4"/>
      <c r="XK33" s="4"/>
      <c r="XL33" s="4"/>
      <c r="XM33" s="4"/>
      <c r="XN33" s="4"/>
      <c r="XO33" s="4"/>
      <c r="XP33" s="4"/>
      <c r="XQ33" s="4"/>
      <c r="XR33" s="4"/>
      <c r="XS33" s="4"/>
      <c r="XT33" s="4"/>
      <c r="XU33" s="4"/>
      <c r="XV33" s="4"/>
      <c r="XW33" s="4"/>
      <c r="XX33" s="4"/>
      <c r="XY33" s="4"/>
      <c r="XZ33" s="4"/>
      <c r="YA33" s="4"/>
      <c r="YB33" s="4"/>
      <c r="YC33" s="4"/>
      <c r="YD33" s="4"/>
      <c r="YE33" s="4"/>
      <c r="YF33" s="4"/>
      <c r="YG33" s="4"/>
      <c r="YH33" s="4"/>
      <c r="YI33" s="4"/>
      <c r="YJ33" s="4"/>
      <c r="YK33" s="4"/>
      <c r="YL33" s="4"/>
      <c r="YM33" s="4"/>
      <c r="YN33" s="4"/>
      <c r="YO33" s="4"/>
      <c r="YP33" s="4"/>
      <c r="YQ33" s="4"/>
      <c r="YR33" s="4"/>
      <c r="YS33" s="4"/>
      <c r="YT33" s="4"/>
      <c r="YU33" s="4"/>
      <c r="YV33" s="4"/>
      <c r="YW33" s="4"/>
      <c r="YX33" s="4"/>
      <c r="YY33" s="4"/>
      <c r="YZ33" s="4"/>
      <c r="ZA33" s="4"/>
      <c r="ZB33" s="4"/>
      <c r="ZC33" s="4"/>
      <c r="ZD33" s="4"/>
      <c r="ZE33" s="4"/>
      <c r="ZF33" s="4"/>
      <c r="ZG33" s="4"/>
      <c r="ZH33" s="4"/>
      <c r="ZI33" s="4"/>
      <c r="ZJ33" s="4"/>
      <c r="ZK33" s="4"/>
      <c r="ZL33" s="4"/>
      <c r="ZM33" s="4"/>
      <c r="ZN33" s="4"/>
      <c r="ZO33" s="4"/>
      <c r="ZP33" s="4"/>
      <c r="ZQ33" s="4"/>
      <c r="ZR33" s="4"/>
      <c r="ZS33" s="4"/>
      <c r="ZT33" s="4"/>
      <c r="ZU33" s="4"/>
      <c r="ZV33" s="4"/>
      <c r="ZW33" s="4"/>
      <c r="ZX33" s="4"/>
      <c r="ZY33" s="4"/>
      <c r="ZZ33" s="4"/>
      <c r="AAA33" s="4"/>
      <c r="AAB33" s="4"/>
      <c r="AAC33" s="4"/>
      <c r="AAD33" s="4"/>
      <c r="AAE33" s="4"/>
      <c r="AAF33" s="4"/>
      <c r="AAG33" s="4"/>
      <c r="AAH33" s="4"/>
      <c r="AAI33" s="4"/>
      <c r="AAJ33" s="4"/>
      <c r="AAK33" s="4"/>
      <c r="AAL33" s="4"/>
      <c r="AAM33" s="4"/>
      <c r="AAN33" s="4"/>
      <c r="AAO33" s="4"/>
      <c r="AAP33" s="4"/>
      <c r="AAQ33" s="4"/>
      <c r="AAR33" s="4"/>
      <c r="AAS33" s="4"/>
      <c r="AAT33" s="4"/>
      <c r="AAU33" s="4"/>
      <c r="AAV33" s="4"/>
      <c r="AAW33" s="4"/>
      <c r="AAX33" s="4"/>
      <c r="AAY33" s="4"/>
      <c r="AAZ33" s="4"/>
      <c r="ABA33" s="4"/>
      <c r="ABB33" s="4"/>
      <c r="ABC33" s="4"/>
      <c r="ABD33" s="4"/>
      <c r="ABE33" s="4"/>
      <c r="ABF33" s="4"/>
      <c r="ABG33" s="4"/>
      <c r="ABH33" s="4"/>
      <c r="ABI33" s="4"/>
      <c r="ABJ33" s="4"/>
      <c r="ABK33" s="4"/>
      <c r="ABL33" s="4"/>
      <c r="ABM33" s="4"/>
      <c r="ABN33" s="4"/>
      <c r="ABO33" s="4"/>
      <c r="ABP33" s="4"/>
      <c r="ABQ33" s="4"/>
      <c r="ABR33" s="4"/>
      <c r="ABS33" s="4"/>
      <c r="ABT33" s="4"/>
      <c r="ABU33" s="4"/>
      <c r="ABV33" s="4"/>
      <c r="ABW33" s="4"/>
      <c r="ABX33" s="4"/>
      <c r="ABY33" s="4"/>
      <c r="ABZ33" s="4"/>
      <c r="ACA33" s="4"/>
      <c r="ACB33" s="4"/>
      <c r="ACC33" s="4"/>
      <c r="ACD33" s="4"/>
      <c r="ACE33" s="4"/>
      <c r="ACF33" s="4"/>
      <c r="ACG33" s="4"/>
      <c r="ACH33" s="4"/>
      <c r="ACI33" s="4"/>
      <c r="ACJ33" s="4"/>
      <c r="ACK33" s="4"/>
      <c r="ACL33" s="4"/>
      <c r="ACM33" s="4"/>
      <c r="ACN33" s="4"/>
      <c r="ACO33" s="4"/>
      <c r="ACP33" s="4"/>
      <c r="ACQ33" s="4"/>
      <c r="ACR33" s="4"/>
      <c r="ACS33" s="4"/>
      <c r="ACT33" s="4"/>
      <c r="ACU33" s="4"/>
      <c r="ACV33" s="4"/>
      <c r="ACW33" s="4"/>
      <c r="ACX33" s="4"/>
      <c r="ACY33" s="4"/>
      <c r="ACZ33" s="4"/>
      <c r="ADA33" s="4"/>
      <c r="ADB33" s="4"/>
      <c r="ADC33" s="4"/>
      <c r="ADD33" s="4"/>
      <c r="ADE33" s="4"/>
      <c r="ADF33" s="4"/>
      <c r="ADG33" s="4"/>
      <c r="ADH33" s="4"/>
      <c r="ADI33" s="4"/>
      <c r="ADJ33" s="4"/>
      <c r="ADK33" s="4"/>
      <c r="ADL33" s="4"/>
      <c r="ADM33" s="4"/>
      <c r="ADN33" s="4"/>
      <c r="ADO33" s="4"/>
      <c r="ADP33" s="4"/>
      <c r="ADQ33" s="4"/>
      <c r="ADR33" s="4"/>
      <c r="ADS33" s="4"/>
      <c r="ADT33" s="4"/>
      <c r="ADU33" s="4"/>
      <c r="ADV33" s="4"/>
      <c r="ADW33" s="4"/>
      <c r="ADX33" s="4"/>
      <c r="ADY33" s="4"/>
      <c r="ADZ33" s="4"/>
      <c r="AEA33" s="4"/>
      <c r="AEB33" s="4"/>
      <c r="AEC33" s="4"/>
      <c r="AED33" s="4"/>
      <c r="AEE33" s="4"/>
      <c r="AEF33" s="4"/>
      <c r="AEG33" s="4"/>
      <c r="AEH33" s="4"/>
      <c r="AEI33" s="4"/>
      <c r="AEJ33" s="4"/>
      <c r="AEK33" s="4"/>
      <c r="AEL33" s="4"/>
      <c r="AEM33" s="4"/>
      <c r="AEN33" s="4"/>
      <c r="AEO33" s="4"/>
      <c r="AEP33" s="4"/>
      <c r="AEQ33" s="4"/>
      <c r="AER33" s="4"/>
      <c r="AES33" s="4"/>
      <c r="AET33" s="4"/>
      <c r="AEU33" s="4"/>
      <c r="AEV33" s="4"/>
      <c r="AEW33" s="4"/>
      <c r="AEX33" s="4"/>
      <c r="AEY33" s="4"/>
      <c r="AEZ33" s="4"/>
      <c r="AFA33" s="4"/>
      <c r="AFB33" s="4"/>
      <c r="AFC33" s="4"/>
      <c r="AFD33" s="4"/>
      <c r="AFE33" s="4"/>
      <c r="AFF33" s="4"/>
      <c r="AFG33" s="4"/>
      <c r="AFH33" s="4"/>
      <c r="AFI33" s="4"/>
      <c r="AFJ33" s="4"/>
      <c r="AFK33" s="4"/>
      <c r="AFL33" s="4"/>
      <c r="AFM33" s="4"/>
      <c r="AFN33" s="4"/>
      <c r="AFO33" s="4"/>
      <c r="AFP33" s="4"/>
      <c r="AFQ33" s="4"/>
      <c r="AFR33" s="4"/>
      <c r="AFS33" s="4"/>
      <c r="AFT33" s="4"/>
      <c r="AFU33" s="4"/>
      <c r="AFV33" s="4"/>
      <c r="AFW33" s="4"/>
      <c r="AFX33" s="4"/>
      <c r="AFY33" s="4"/>
      <c r="AFZ33" s="4"/>
      <c r="AGA33" s="4"/>
      <c r="AGB33" s="4"/>
      <c r="AGC33" s="4"/>
      <c r="AGD33" s="4"/>
      <c r="AGE33" s="4"/>
      <c r="AGF33" s="4"/>
      <c r="AGG33" s="4"/>
      <c r="AGH33" s="4"/>
      <c r="AGI33" s="4"/>
      <c r="AGJ33" s="4"/>
      <c r="AGK33" s="4"/>
      <c r="AGL33" s="4"/>
      <c r="AGM33" s="4"/>
      <c r="AGN33" s="4"/>
      <c r="AGO33" s="4"/>
      <c r="AGP33" s="4"/>
      <c r="AGQ33" s="4"/>
      <c r="AGR33" s="4"/>
      <c r="AGS33" s="4"/>
      <c r="AGT33" s="4"/>
      <c r="AGU33" s="4"/>
      <c r="AGV33" s="4"/>
      <c r="AGW33" s="4"/>
      <c r="AGX33" s="4"/>
      <c r="AGY33" s="4"/>
      <c r="AGZ33" s="4"/>
      <c r="AHA33" s="4"/>
      <c r="AHB33" s="4"/>
      <c r="AHC33" s="4"/>
      <c r="AHD33" s="4"/>
      <c r="AHE33" s="4"/>
      <c r="AHF33" s="4"/>
      <c r="AHG33" s="4"/>
      <c r="AHH33" s="4"/>
      <c r="AHI33" s="4"/>
      <c r="AHJ33" s="4"/>
      <c r="AHK33" s="4"/>
      <c r="AHL33" s="4"/>
      <c r="AHM33" s="4"/>
      <c r="AHN33" s="4"/>
      <c r="AHO33" s="4"/>
      <c r="AHP33" s="4"/>
      <c r="AHQ33" s="4"/>
      <c r="AHR33" s="4"/>
      <c r="AHS33" s="4"/>
      <c r="AHT33" s="4"/>
      <c r="AHU33" s="4"/>
      <c r="AHV33" s="4"/>
      <c r="AHW33" s="4"/>
      <c r="AHX33" s="4"/>
      <c r="AHY33" s="4"/>
      <c r="AHZ33" s="4"/>
      <c r="AIA33" s="4"/>
      <c r="AIB33" s="4"/>
      <c r="AIC33" s="4"/>
      <c r="AID33" s="4"/>
      <c r="AIE33" s="4"/>
      <c r="AIF33" s="4"/>
      <c r="AIG33" s="4"/>
      <c r="AIH33" s="4"/>
      <c r="AII33" s="4"/>
      <c r="AIJ33" s="4"/>
      <c r="AIK33" s="4"/>
      <c r="AIL33" s="4"/>
      <c r="AIM33" s="4"/>
      <c r="AIN33" s="4"/>
      <c r="AIO33" s="4"/>
      <c r="AIP33" s="4"/>
      <c r="AIQ33" s="4"/>
      <c r="AIR33" s="4"/>
      <c r="AIS33" s="4"/>
      <c r="AIT33" s="4"/>
      <c r="AIU33" s="4"/>
      <c r="AIV33" s="4"/>
      <c r="AIW33" s="4"/>
      <c r="AIX33" s="4"/>
      <c r="AIY33" s="4"/>
      <c r="AIZ33" s="4"/>
      <c r="AJA33" s="4"/>
      <c r="AJB33" s="4"/>
      <c r="AJC33" s="4"/>
      <c r="AJD33" s="4"/>
      <c r="AJE33" s="4"/>
      <c r="AJF33" s="4"/>
      <c r="AJG33" s="4"/>
      <c r="AJH33" s="4"/>
      <c r="AJI33" s="4"/>
      <c r="AJJ33" s="4"/>
      <c r="AJK33" s="4"/>
      <c r="AJL33" s="4"/>
      <c r="AJM33" s="4"/>
      <c r="AJN33" s="4"/>
      <c r="AJO33" s="4"/>
      <c r="AJP33" s="4"/>
      <c r="AJQ33" s="4"/>
      <c r="AJR33" s="4"/>
      <c r="AJS33" s="4"/>
      <c r="AJT33" s="4"/>
      <c r="AJU33" s="4"/>
      <c r="AJV33" s="4"/>
      <c r="AJW33" s="4"/>
      <c r="AJX33" s="4"/>
      <c r="AJY33" s="4"/>
      <c r="AJZ33" s="4"/>
      <c r="AKA33" s="4"/>
      <c r="AKB33" s="4"/>
      <c r="AKC33" s="4"/>
      <c r="AKD33" s="4"/>
      <c r="AKE33" s="4"/>
      <c r="AKF33" s="4"/>
      <c r="AKG33" s="4"/>
      <c r="AKH33" s="4"/>
      <c r="AKI33" s="4"/>
      <c r="AKJ33" s="4"/>
      <c r="AKK33" s="4"/>
      <c r="AKL33" s="4"/>
      <c r="AKM33" s="4"/>
      <c r="AKN33" s="4"/>
      <c r="AKO33" s="4"/>
      <c r="AKP33" s="4"/>
      <c r="AKQ33" s="4"/>
      <c r="AKR33" s="4"/>
      <c r="AKS33" s="4"/>
      <c r="AKT33" s="4"/>
      <c r="AKU33" s="4"/>
      <c r="AKV33" s="4"/>
      <c r="AKW33" s="4"/>
      <c r="AKX33" s="4"/>
      <c r="AKY33" s="4"/>
      <c r="AKZ33" s="4"/>
      <c r="ALA33" s="4"/>
      <c r="ALB33" s="4"/>
      <c r="ALC33" s="4"/>
      <c r="ALD33" s="4"/>
      <c r="ALE33" s="4"/>
      <c r="ALF33" s="4"/>
      <c r="ALG33" s="4"/>
      <c r="ALH33" s="4"/>
      <c r="ALI33" s="4"/>
      <c r="ALJ33" s="4"/>
      <c r="ALK33" s="4"/>
      <c r="ALL33" s="4"/>
      <c r="ALM33" s="4"/>
      <c r="ALN33" s="4"/>
      <c r="ALO33" s="4"/>
      <c r="ALP33" s="4"/>
      <c r="ALQ33" s="4"/>
      <c r="ALR33" s="4"/>
      <c r="ALS33" s="4"/>
      <c r="ALT33" s="4"/>
      <c r="ALU33" s="4"/>
      <c r="ALV33" s="4"/>
      <c r="ALW33" s="4"/>
      <c r="ALX33" s="4"/>
      <c r="ALY33" s="4"/>
      <c r="ALZ33" s="4"/>
      <c r="AMA33" s="4"/>
      <c r="AMB33" s="4"/>
      <c r="AMC33" s="4"/>
      <c r="AMD33" s="4"/>
      <c r="AME33" s="4"/>
      <c r="AMF33" s="4"/>
      <c r="AMG33" s="4"/>
      <c r="AMH33" s="4"/>
      <c r="AMI33" s="4"/>
      <c r="AMJ33" s="4"/>
    </row>
    <row r="34" customFormat="false" ht="15.75" hidden="false" customHeight="false" outlineLevel="0" collapsed="false">
      <c r="A34" s="23" t="s">
        <v>154</v>
      </c>
      <c r="B34" s="4" t="s">
        <v>158</v>
      </c>
      <c r="C34" s="4" t="s">
        <v>204</v>
      </c>
      <c r="D34" s="4"/>
      <c r="E34" s="4" t="n">
        <v>0</v>
      </c>
      <c r="F34" s="4" t="s">
        <v>215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  <c r="IX34" s="4"/>
      <c r="IY34" s="4"/>
      <c r="IZ34" s="4"/>
      <c r="JA34" s="4"/>
      <c r="JB34" s="4"/>
      <c r="JC34" s="4"/>
      <c r="JD34" s="4"/>
      <c r="JE34" s="4"/>
      <c r="JF34" s="4"/>
      <c r="JG34" s="4"/>
      <c r="JH34" s="4"/>
      <c r="JI34" s="4"/>
      <c r="JJ34" s="4"/>
      <c r="JK34" s="4"/>
      <c r="JL34" s="4"/>
      <c r="JM34" s="4"/>
      <c r="JN34" s="4"/>
      <c r="JO34" s="4"/>
      <c r="JP34" s="4"/>
      <c r="JQ34" s="4"/>
      <c r="JR34" s="4"/>
      <c r="JS34" s="4"/>
      <c r="JT34" s="4"/>
      <c r="JU34" s="4"/>
      <c r="JV34" s="4"/>
      <c r="JW34" s="4"/>
      <c r="JX34" s="4"/>
      <c r="JY34" s="4"/>
      <c r="JZ34" s="4"/>
      <c r="KA34" s="4"/>
      <c r="KB34" s="4"/>
      <c r="KC34" s="4"/>
      <c r="KD34" s="4"/>
      <c r="KE34" s="4"/>
      <c r="KF34" s="4"/>
      <c r="KG34" s="4"/>
      <c r="KH34" s="4"/>
      <c r="KI34" s="4"/>
      <c r="KJ34" s="4"/>
      <c r="KK34" s="4"/>
      <c r="KL34" s="4"/>
      <c r="KM34" s="4"/>
      <c r="KN34" s="4"/>
      <c r="KO34" s="4"/>
      <c r="KP34" s="4"/>
      <c r="KQ34" s="4"/>
      <c r="KR34" s="4"/>
      <c r="KS34" s="4"/>
      <c r="KT34" s="4"/>
      <c r="KU34" s="4"/>
      <c r="KV34" s="4"/>
      <c r="KW34" s="4"/>
      <c r="KX34" s="4"/>
      <c r="KY34" s="4"/>
      <c r="KZ34" s="4"/>
      <c r="LA34" s="4"/>
      <c r="LB34" s="4"/>
      <c r="LC34" s="4"/>
      <c r="LD34" s="4"/>
      <c r="LE34" s="4"/>
      <c r="LF34" s="4"/>
      <c r="LG34" s="4"/>
      <c r="LH34" s="4"/>
      <c r="LI34" s="4"/>
      <c r="LJ34" s="4"/>
      <c r="LK34" s="4"/>
      <c r="LL34" s="4"/>
      <c r="LM34" s="4"/>
      <c r="LN34" s="4"/>
      <c r="LO34" s="4"/>
      <c r="LP34" s="4"/>
      <c r="LQ34" s="4"/>
      <c r="LR34" s="4"/>
      <c r="LS34" s="4"/>
      <c r="LT34" s="4"/>
      <c r="LU34" s="4"/>
      <c r="LV34" s="4"/>
      <c r="LW34" s="4"/>
      <c r="LX34" s="4"/>
      <c r="LY34" s="4"/>
      <c r="LZ34" s="4"/>
      <c r="MA34" s="4"/>
      <c r="MB34" s="4"/>
      <c r="MC34" s="4"/>
      <c r="MD34" s="4"/>
      <c r="ME34" s="4"/>
      <c r="MF34" s="4"/>
      <c r="MG34" s="4"/>
      <c r="MH34" s="4"/>
      <c r="MI34" s="4"/>
      <c r="MJ34" s="4"/>
      <c r="MK34" s="4"/>
      <c r="ML34" s="4"/>
      <c r="MM34" s="4"/>
      <c r="MN34" s="4"/>
      <c r="MO34" s="4"/>
      <c r="MP34" s="4"/>
      <c r="MQ34" s="4"/>
      <c r="MR34" s="4"/>
      <c r="MS34" s="4"/>
      <c r="MT34" s="4"/>
      <c r="MU34" s="4"/>
      <c r="MV34" s="4"/>
      <c r="MW34" s="4"/>
      <c r="MX34" s="4"/>
      <c r="MY34" s="4"/>
      <c r="MZ34" s="4"/>
      <c r="NA34" s="4"/>
      <c r="NB34" s="4"/>
      <c r="NC34" s="4"/>
      <c r="ND34" s="4"/>
      <c r="NE34" s="4"/>
      <c r="NF34" s="4"/>
      <c r="NG34" s="4"/>
      <c r="NH34" s="4"/>
      <c r="NI34" s="4"/>
      <c r="NJ34" s="4"/>
      <c r="NK34" s="4"/>
      <c r="NL34" s="4"/>
      <c r="NM34" s="4"/>
      <c r="NN34" s="4"/>
      <c r="NO34" s="4"/>
      <c r="NP34" s="4"/>
      <c r="NQ34" s="4"/>
      <c r="NR34" s="4"/>
      <c r="NS34" s="4"/>
      <c r="NT34" s="4"/>
      <c r="NU34" s="4"/>
      <c r="NV34" s="4"/>
      <c r="NW34" s="4"/>
      <c r="NX34" s="4"/>
      <c r="NY34" s="4"/>
      <c r="NZ34" s="4"/>
      <c r="OA34" s="4"/>
      <c r="OB34" s="4"/>
      <c r="OC34" s="4"/>
      <c r="OD34" s="4"/>
      <c r="OE34" s="4"/>
      <c r="OF34" s="4"/>
      <c r="OG34" s="4"/>
      <c r="OH34" s="4"/>
      <c r="OI34" s="4"/>
      <c r="OJ34" s="4"/>
      <c r="OK34" s="4"/>
      <c r="OL34" s="4"/>
      <c r="OM34" s="4"/>
      <c r="ON34" s="4"/>
      <c r="OO34" s="4"/>
      <c r="OP34" s="4"/>
      <c r="OQ34" s="4"/>
      <c r="OR34" s="4"/>
      <c r="OS34" s="4"/>
      <c r="OT34" s="4"/>
      <c r="OU34" s="4"/>
      <c r="OV34" s="4"/>
      <c r="OW34" s="4"/>
      <c r="OX34" s="4"/>
      <c r="OY34" s="4"/>
      <c r="OZ34" s="4"/>
      <c r="PA34" s="4"/>
      <c r="PB34" s="4"/>
      <c r="PC34" s="4"/>
      <c r="PD34" s="4"/>
      <c r="PE34" s="4"/>
      <c r="PF34" s="4"/>
      <c r="PG34" s="4"/>
      <c r="PH34" s="4"/>
      <c r="PI34" s="4"/>
      <c r="PJ34" s="4"/>
      <c r="PK34" s="4"/>
      <c r="PL34" s="4"/>
      <c r="PM34" s="4"/>
      <c r="PN34" s="4"/>
      <c r="PO34" s="4"/>
      <c r="PP34" s="4"/>
      <c r="PQ34" s="4"/>
      <c r="PR34" s="4"/>
      <c r="PS34" s="4"/>
      <c r="PT34" s="4"/>
      <c r="PU34" s="4"/>
      <c r="PV34" s="4"/>
      <c r="PW34" s="4"/>
      <c r="PX34" s="4"/>
      <c r="PY34" s="4"/>
      <c r="PZ34" s="4"/>
      <c r="QA34" s="4"/>
      <c r="QB34" s="4"/>
      <c r="QC34" s="4"/>
      <c r="QD34" s="4"/>
      <c r="QE34" s="4"/>
      <c r="QF34" s="4"/>
      <c r="QG34" s="4"/>
      <c r="QH34" s="4"/>
      <c r="QI34" s="4"/>
      <c r="QJ34" s="4"/>
      <c r="QK34" s="4"/>
      <c r="QL34" s="4"/>
      <c r="QM34" s="4"/>
      <c r="QN34" s="4"/>
      <c r="QO34" s="4"/>
      <c r="QP34" s="4"/>
      <c r="QQ34" s="4"/>
      <c r="QR34" s="4"/>
      <c r="QS34" s="4"/>
      <c r="QT34" s="4"/>
      <c r="QU34" s="4"/>
      <c r="QV34" s="4"/>
      <c r="QW34" s="4"/>
      <c r="QX34" s="4"/>
      <c r="QY34" s="4"/>
      <c r="QZ34" s="4"/>
      <c r="RA34" s="4"/>
      <c r="RB34" s="4"/>
      <c r="RC34" s="4"/>
      <c r="RD34" s="4"/>
      <c r="RE34" s="4"/>
      <c r="RF34" s="4"/>
      <c r="RG34" s="4"/>
      <c r="RH34" s="4"/>
      <c r="RI34" s="4"/>
      <c r="RJ34" s="4"/>
      <c r="RK34" s="4"/>
      <c r="RL34" s="4"/>
      <c r="RM34" s="4"/>
      <c r="RN34" s="4"/>
      <c r="RO34" s="4"/>
      <c r="RP34" s="4"/>
      <c r="RQ34" s="4"/>
      <c r="RR34" s="4"/>
      <c r="RS34" s="4"/>
      <c r="RT34" s="4"/>
      <c r="RU34" s="4"/>
      <c r="RV34" s="4"/>
      <c r="RW34" s="4"/>
      <c r="RX34" s="4"/>
      <c r="RY34" s="4"/>
      <c r="RZ34" s="4"/>
      <c r="SA34" s="4"/>
      <c r="SB34" s="4"/>
      <c r="SC34" s="4"/>
      <c r="SD34" s="4"/>
      <c r="SE34" s="4"/>
      <c r="SF34" s="4"/>
      <c r="SG34" s="4"/>
      <c r="SH34" s="4"/>
      <c r="SI34" s="4"/>
      <c r="SJ34" s="4"/>
      <c r="SK34" s="4"/>
      <c r="SL34" s="4"/>
      <c r="SM34" s="4"/>
      <c r="SN34" s="4"/>
      <c r="SO34" s="4"/>
      <c r="SP34" s="4"/>
      <c r="SQ34" s="4"/>
      <c r="SR34" s="4"/>
      <c r="SS34" s="4"/>
      <c r="ST34" s="4"/>
      <c r="SU34" s="4"/>
      <c r="SV34" s="4"/>
      <c r="SW34" s="4"/>
      <c r="SX34" s="4"/>
      <c r="SY34" s="4"/>
      <c r="SZ34" s="4"/>
      <c r="TA34" s="4"/>
      <c r="TB34" s="4"/>
      <c r="TC34" s="4"/>
      <c r="TD34" s="4"/>
      <c r="TE34" s="4"/>
      <c r="TF34" s="4"/>
      <c r="TG34" s="4"/>
      <c r="TH34" s="4"/>
      <c r="TI34" s="4"/>
      <c r="TJ34" s="4"/>
      <c r="TK34" s="4"/>
      <c r="TL34" s="4"/>
      <c r="TM34" s="4"/>
      <c r="TN34" s="4"/>
      <c r="TO34" s="4"/>
      <c r="TP34" s="4"/>
      <c r="TQ34" s="4"/>
      <c r="TR34" s="4"/>
      <c r="TS34" s="4"/>
      <c r="TT34" s="4"/>
      <c r="TU34" s="4"/>
      <c r="TV34" s="4"/>
      <c r="TW34" s="4"/>
      <c r="TX34" s="4"/>
      <c r="TY34" s="4"/>
      <c r="TZ34" s="4"/>
      <c r="UA34" s="4"/>
      <c r="UB34" s="4"/>
      <c r="UC34" s="4"/>
      <c r="UD34" s="4"/>
      <c r="UE34" s="4"/>
      <c r="UF34" s="4"/>
      <c r="UG34" s="4"/>
      <c r="UH34" s="4"/>
      <c r="UI34" s="4"/>
      <c r="UJ34" s="4"/>
      <c r="UK34" s="4"/>
      <c r="UL34" s="4"/>
      <c r="UM34" s="4"/>
      <c r="UN34" s="4"/>
      <c r="UO34" s="4"/>
      <c r="UP34" s="4"/>
      <c r="UQ34" s="4"/>
      <c r="UR34" s="4"/>
      <c r="US34" s="4"/>
      <c r="UT34" s="4"/>
      <c r="UU34" s="4"/>
      <c r="UV34" s="4"/>
      <c r="UW34" s="4"/>
      <c r="UX34" s="4"/>
      <c r="UY34" s="4"/>
      <c r="UZ34" s="4"/>
      <c r="VA34" s="4"/>
      <c r="VB34" s="4"/>
      <c r="VC34" s="4"/>
      <c r="VD34" s="4"/>
      <c r="VE34" s="4"/>
      <c r="VF34" s="4"/>
      <c r="VG34" s="4"/>
      <c r="VH34" s="4"/>
      <c r="VI34" s="4"/>
      <c r="VJ34" s="4"/>
      <c r="VK34" s="4"/>
      <c r="VL34" s="4"/>
      <c r="VM34" s="4"/>
      <c r="VN34" s="4"/>
      <c r="VO34" s="4"/>
      <c r="VP34" s="4"/>
      <c r="VQ34" s="4"/>
      <c r="VR34" s="4"/>
      <c r="VS34" s="4"/>
      <c r="VT34" s="4"/>
      <c r="VU34" s="4"/>
      <c r="VV34" s="4"/>
      <c r="VW34" s="4"/>
      <c r="VX34" s="4"/>
      <c r="VY34" s="4"/>
      <c r="VZ34" s="4"/>
      <c r="WA34" s="4"/>
      <c r="WB34" s="4"/>
      <c r="WC34" s="4"/>
      <c r="WD34" s="4"/>
      <c r="WE34" s="4"/>
      <c r="WF34" s="4"/>
      <c r="WG34" s="4"/>
      <c r="WH34" s="4"/>
      <c r="WI34" s="4"/>
      <c r="WJ34" s="4"/>
      <c r="WK34" s="4"/>
      <c r="WL34" s="4"/>
      <c r="WM34" s="4"/>
      <c r="WN34" s="4"/>
      <c r="WO34" s="4"/>
      <c r="WP34" s="4"/>
      <c r="WQ34" s="4"/>
      <c r="WR34" s="4"/>
      <c r="WS34" s="4"/>
      <c r="WT34" s="4"/>
      <c r="WU34" s="4"/>
      <c r="WV34" s="4"/>
      <c r="WW34" s="4"/>
      <c r="WX34" s="4"/>
      <c r="WY34" s="4"/>
      <c r="WZ34" s="4"/>
      <c r="XA34" s="4"/>
      <c r="XB34" s="4"/>
      <c r="XC34" s="4"/>
      <c r="XD34" s="4"/>
      <c r="XE34" s="4"/>
      <c r="XF34" s="4"/>
      <c r="XG34" s="4"/>
      <c r="XH34" s="4"/>
      <c r="XI34" s="4"/>
      <c r="XJ34" s="4"/>
      <c r="XK34" s="4"/>
      <c r="XL34" s="4"/>
      <c r="XM34" s="4"/>
      <c r="XN34" s="4"/>
      <c r="XO34" s="4"/>
      <c r="XP34" s="4"/>
      <c r="XQ34" s="4"/>
      <c r="XR34" s="4"/>
      <c r="XS34" s="4"/>
      <c r="XT34" s="4"/>
      <c r="XU34" s="4"/>
      <c r="XV34" s="4"/>
      <c r="XW34" s="4"/>
      <c r="XX34" s="4"/>
      <c r="XY34" s="4"/>
      <c r="XZ34" s="4"/>
      <c r="YA34" s="4"/>
      <c r="YB34" s="4"/>
      <c r="YC34" s="4"/>
      <c r="YD34" s="4"/>
      <c r="YE34" s="4"/>
      <c r="YF34" s="4"/>
      <c r="YG34" s="4"/>
      <c r="YH34" s="4"/>
      <c r="YI34" s="4"/>
      <c r="YJ34" s="4"/>
      <c r="YK34" s="4"/>
      <c r="YL34" s="4"/>
      <c r="YM34" s="4"/>
      <c r="YN34" s="4"/>
      <c r="YO34" s="4"/>
      <c r="YP34" s="4"/>
      <c r="YQ34" s="4"/>
      <c r="YR34" s="4"/>
      <c r="YS34" s="4"/>
      <c r="YT34" s="4"/>
      <c r="YU34" s="4"/>
      <c r="YV34" s="4"/>
      <c r="YW34" s="4"/>
      <c r="YX34" s="4"/>
      <c r="YY34" s="4"/>
      <c r="YZ34" s="4"/>
      <c r="ZA34" s="4"/>
      <c r="ZB34" s="4"/>
      <c r="ZC34" s="4"/>
      <c r="ZD34" s="4"/>
      <c r="ZE34" s="4"/>
      <c r="ZF34" s="4"/>
      <c r="ZG34" s="4"/>
      <c r="ZH34" s="4"/>
      <c r="ZI34" s="4"/>
      <c r="ZJ34" s="4"/>
      <c r="ZK34" s="4"/>
      <c r="ZL34" s="4"/>
      <c r="ZM34" s="4"/>
      <c r="ZN34" s="4"/>
      <c r="ZO34" s="4"/>
      <c r="ZP34" s="4"/>
      <c r="ZQ34" s="4"/>
      <c r="ZR34" s="4"/>
      <c r="ZS34" s="4"/>
      <c r="ZT34" s="4"/>
      <c r="ZU34" s="4"/>
      <c r="ZV34" s="4"/>
      <c r="ZW34" s="4"/>
      <c r="ZX34" s="4"/>
      <c r="ZY34" s="4"/>
      <c r="ZZ34" s="4"/>
      <c r="AAA34" s="4"/>
      <c r="AAB34" s="4"/>
      <c r="AAC34" s="4"/>
      <c r="AAD34" s="4"/>
      <c r="AAE34" s="4"/>
      <c r="AAF34" s="4"/>
      <c r="AAG34" s="4"/>
      <c r="AAH34" s="4"/>
      <c r="AAI34" s="4"/>
      <c r="AAJ34" s="4"/>
      <c r="AAK34" s="4"/>
      <c r="AAL34" s="4"/>
      <c r="AAM34" s="4"/>
      <c r="AAN34" s="4"/>
      <c r="AAO34" s="4"/>
      <c r="AAP34" s="4"/>
      <c r="AAQ34" s="4"/>
      <c r="AAR34" s="4"/>
      <c r="AAS34" s="4"/>
      <c r="AAT34" s="4"/>
      <c r="AAU34" s="4"/>
      <c r="AAV34" s="4"/>
      <c r="AAW34" s="4"/>
      <c r="AAX34" s="4"/>
      <c r="AAY34" s="4"/>
      <c r="AAZ34" s="4"/>
      <c r="ABA34" s="4"/>
      <c r="ABB34" s="4"/>
      <c r="ABC34" s="4"/>
      <c r="ABD34" s="4"/>
      <c r="ABE34" s="4"/>
      <c r="ABF34" s="4"/>
      <c r="ABG34" s="4"/>
      <c r="ABH34" s="4"/>
      <c r="ABI34" s="4"/>
      <c r="ABJ34" s="4"/>
      <c r="ABK34" s="4"/>
      <c r="ABL34" s="4"/>
      <c r="ABM34" s="4"/>
      <c r="ABN34" s="4"/>
      <c r="ABO34" s="4"/>
      <c r="ABP34" s="4"/>
      <c r="ABQ34" s="4"/>
      <c r="ABR34" s="4"/>
      <c r="ABS34" s="4"/>
      <c r="ABT34" s="4"/>
      <c r="ABU34" s="4"/>
      <c r="ABV34" s="4"/>
      <c r="ABW34" s="4"/>
      <c r="ABX34" s="4"/>
      <c r="ABY34" s="4"/>
      <c r="ABZ34" s="4"/>
      <c r="ACA34" s="4"/>
      <c r="ACB34" s="4"/>
      <c r="ACC34" s="4"/>
      <c r="ACD34" s="4"/>
      <c r="ACE34" s="4"/>
      <c r="ACF34" s="4"/>
      <c r="ACG34" s="4"/>
      <c r="ACH34" s="4"/>
      <c r="ACI34" s="4"/>
      <c r="ACJ34" s="4"/>
      <c r="ACK34" s="4"/>
      <c r="ACL34" s="4"/>
      <c r="ACM34" s="4"/>
      <c r="ACN34" s="4"/>
      <c r="ACO34" s="4"/>
      <c r="ACP34" s="4"/>
      <c r="ACQ34" s="4"/>
      <c r="ACR34" s="4"/>
      <c r="ACS34" s="4"/>
      <c r="ACT34" s="4"/>
      <c r="ACU34" s="4"/>
      <c r="ACV34" s="4"/>
      <c r="ACW34" s="4"/>
      <c r="ACX34" s="4"/>
      <c r="ACY34" s="4"/>
      <c r="ACZ34" s="4"/>
      <c r="ADA34" s="4"/>
      <c r="ADB34" s="4"/>
      <c r="ADC34" s="4"/>
      <c r="ADD34" s="4"/>
      <c r="ADE34" s="4"/>
      <c r="ADF34" s="4"/>
      <c r="ADG34" s="4"/>
      <c r="ADH34" s="4"/>
      <c r="ADI34" s="4"/>
      <c r="ADJ34" s="4"/>
      <c r="ADK34" s="4"/>
      <c r="ADL34" s="4"/>
      <c r="ADM34" s="4"/>
      <c r="ADN34" s="4"/>
      <c r="ADO34" s="4"/>
      <c r="ADP34" s="4"/>
      <c r="ADQ34" s="4"/>
      <c r="ADR34" s="4"/>
      <c r="ADS34" s="4"/>
      <c r="ADT34" s="4"/>
      <c r="ADU34" s="4"/>
      <c r="ADV34" s="4"/>
      <c r="ADW34" s="4"/>
      <c r="ADX34" s="4"/>
      <c r="ADY34" s="4"/>
      <c r="ADZ34" s="4"/>
      <c r="AEA34" s="4"/>
      <c r="AEB34" s="4"/>
      <c r="AEC34" s="4"/>
      <c r="AED34" s="4"/>
      <c r="AEE34" s="4"/>
      <c r="AEF34" s="4"/>
      <c r="AEG34" s="4"/>
      <c r="AEH34" s="4"/>
      <c r="AEI34" s="4"/>
      <c r="AEJ34" s="4"/>
      <c r="AEK34" s="4"/>
      <c r="AEL34" s="4"/>
      <c r="AEM34" s="4"/>
      <c r="AEN34" s="4"/>
      <c r="AEO34" s="4"/>
      <c r="AEP34" s="4"/>
      <c r="AEQ34" s="4"/>
      <c r="AER34" s="4"/>
      <c r="AES34" s="4"/>
      <c r="AET34" s="4"/>
      <c r="AEU34" s="4"/>
      <c r="AEV34" s="4"/>
      <c r="AEW34" s="4"/>
      <c r="AEX34" s="4"/>
      <c r="AEY34" s="4"/>
      <c r="AEZ34" s="4"/>
      <c r="AFA34" s="4"/>
      <c r="AFB34" s="4"/>
      <c r="AFC34" s="4"/>
      <c r="AFD34" s="4"/>
      <c r="AFE34" s="4"/>
      <c r="AFF34" s="4"/>
      <c r="AFG34" s="4"/>
      <c r="AFH34" s="4"/>
      <c r="AFI34" s="4"/>
      <c r="AFJ34" s="4"/>
      <c r="AFK34" s="4"/>
      <c r="AFL34" s="4"/>
      <c r="AFM34" s="4"/>
      <c r="AFN34" s="4"/>
      <c r="AFO34" s="4"/>
      <c r="AFP34" s="4"/>
      <c r="AFQ34" s="4"/>
      <c r="AFR34" s="4"/>
      <c r="AFS34" s="4"/>
      <c r="AFT34" s="4"/>
      <c r="AFU34" s="4"/>
      <c r="AFV34" s="4"/>
      <c r="AFW34" s="4"/>
      <c r="AFX34" s="4"/>
      <c r="AFY34" s="4"/>
      <c r="AFZ34" s="4"/>
      <c r="AGA34" s="4"/>
      <c r="AGB34" s="4"/>
      <c r="AGC34" s="4"/>
      <c r="AGD34" s="4"/>
      <c r="AGE34" s="4"/>
      <c r="AGF34" s="4"/>
      <c r="AGG34" s="4"/>
      <c r="AGH34" s="4"/>
      <c r="AGI34" s="4"/>
      <c r="AGJ34" s="4"/>
      <c r="AGK34" s="4"/>
      <c r="AGL34" s="4"/>
      <c r="AGM34" s="4"/>
      <c r="AGN34" s="4"/>
      <c r="AGO34" s="4"/>
      <c r="AGP34" s="4"/>
      <c r="AGQ34" s="4"/>
      <c r="AGR34" s="4"/>
      <c r="AGS34" s="4"/>
      <c r="AGT34" s="4"/>
      <c r="AGU34" s="4"/>
      <c r="AGV34" s="4"/>
      <c r="AGW34" s="4"/>
      <c r="AGX34" s="4"/>
      <c r="AGY34" s="4"/>
      <c r="AGZ34" s="4"/>
      <c r="AHA34" s="4"/>
      <c r="AHB34" s="4"/>
      <c r="AHC34" s="4"/>
      <c r="AHD34" s="4"/>
      <c r="AHE34" s="4"/>
      <c r="AHF34" s="4"/>
      <c r="AHG34" s="4"/>
      <c r="AHH34" s="4"/>
      <c r="AHI34" s="4"/>
      <c r="AHJ34" s="4"/>
      <c r="AHK34" s="4"/>
      <c r="AHL34" s="4"/>
      <c r="AHM34" s="4"/>
      <c r="AHN34" s="4"/>
      <c r="AHO34" s="4"/>
      <c r="AHP34" s="4"/>
      <c r="AHQ34" s="4"/>
      <c r="AHR34" s="4"/>
      <c r="AHS34" s="4"/>
      <c r="AHT34" s="4"/>
      <c r="AHU34" s="4"/>
      <c r="AHV34" s="4"/>
      <c r="AHW34" s="4"/>
      <c r="AHX34" s="4"/>
      <c r="AHY34" s="4"/>
      <c r="AHZ34" s="4"/>
      <c r="AIA34" s="4"/>
      <c r="AIB34" s="4"/>
      <c r="AIC34" s="4"/>
      <c r="AID34" s="4"/>
      <c r="AIE34" s="4"/>
      <c r="AIF34" s="4"/>
      <c r="AIG34" s="4"/>
      <c r="AIH34" s="4"/>
      <c r="AII34" s="4"/>
      <c r="AIJ34" s="4"/>
      <c r="AIK34" s="4"/>
      <c r="AIL34" s="4"/>
      <c r="AIM34" s="4"/>
      <c r="AIN34" s="4"/>
      <c r="AIO34" s="4"/>
      <c r="AIP34" s="4"/>
      <c r="AIQ34" s="4"/>
      <c r="AIR34" s="4"/>
      <c r="AIS34" s="4"/>
      <c r="AIT34" s="4"/>
      <c r="AIU34" s="4"/>
      <c r="AIV34" s="4"/>
      <c r="AIW34" s="4"/>
      <c r="AIX34" s="4"/>
      <c r="AIY34" s="4"/>
      <c r="AIZ34" s="4"/>
      <c r="AJA34" s="4"/>
      <c r="AJB34" s="4"/>
      <c r="AJC34" s="4"/>
      <c r="AJD34" s="4"/>
      <c r="AJE34" s="4"/>
      <c r="AJF34" s="4"/>
      <c r="AJG34" s="4"/>
      <c r="AJH34" s="4"/>
      <c r="AJI34" s="4"/>
      <c r="AJJ34" s="4"/>
      <c r="AJK34" s="4"/>
      <c r="AJL34" s="4"/>
      <c r="AJM34" s="4"/>
      <c r="AJN34" s="4"/>
      <c r="AJO34" s="4"/>
      <c r="AJP34" s="4"/>
      <c r="AJQ34" s="4"/>
      <c r="AJR34" s="4"/>
      <c r="AJS34" s="4"/>
      <c r="AJT34" s="4"/>
      <c r="AJU34" s="4"/>
      <c r="AJV34" s="4"/>
      <c r="AJW34" s="4"/>
      <c r="AJX34" s="4"/>
      <c r="AJY34" s="4"/>
      <c r="AJZ34" s="4"/>
      <c r="AKA34" s="4"/>
      <c r="AKB34" s="4"/>
      <c r="AKC34" s="4"/>
      <c r="AKD34" s="4"/>
      <c r="AKE34" s="4"/>
      <c r="AKF34" s="4"/>
      <c r="AKG34" s="4"/>
      <c r="AKH34" s="4"/>
      <c r="AKI34" s="4"/>
      <c r="AKJ34" s="4"/>
      <c r="AKK34" s="4"/>
      <c r="AKL34" s="4"/>
      <c r="AKM34" s="4"/>
      <c r="AKN34" s="4"/>
      <c r="AKO34" s="4"/>
      <c r="AKP34" s="4"/>
      <c r="AKQ34" s="4"/>
      <c r="AKR34" s="4"/>
      <c r="AKS34" s="4"/>
      <c r="AKT34" s="4"/>
      <c r="AKU34" s="4"/>
      <c r="AKV34" s="4"/>
      <c r="AKW34" s="4"/>
      <c r="AKX34" s="4"/>
      <c r="AKY34" s="4"/>
      <c r="AKZ34" s="4"/>
      <c r="ALA34" s="4"/>
      <c r="ALB34" s="4"/>
      <c r="ALC34" s="4"/>
      <c r="ALD34" s="4"/>
      <c r="ALE34" s="4"/>
      <c r="ALF34" s="4"/>
      <c r="ALG34" s="4"/>
      <c r="ALH34" s="4"/>
      <c r="ALI34" s="4"/>
      <c r="ALJ34" s="4"/>
      <c r="ALK34" s="4"/>
      <c r="ALL34" s="4"/>
      <c r="ALM34" s="4"/>
      <c r="ALN34" s="4"/>
      <c r="ALO34" s="4"/>
      <c r="ALP34" s="4"/>
      <c r="ALQ34" s="4"/>
      <c r="ALR34" s="4"/>
      <c r="ALS34" s="4"/>
      <c r="ALT34" s="4"/>
      <c r="ALU34" s="4"/>
      <c r="ALV34" s="4"/>
      <c r="ALW34" s="4"/>
      <c r="ALX34" s="4"/>
      <c r="ALY34" s="4"/>
      <c r="ALZ34" s="4"/>
      <c r="AMA34" s="4"/>
      <c r="AMB34" s="4"/>
      <c r="AMC34" s="4"/>
      <c r="AMD34" s="4"/>
      <c r="AME34" s="4"/>
      <c r="AMF34" s="4"/>
      <c r="AMG34" s="4"/>
      <c r="AMH34" s="4"/>
      <c r="AMI34" s="4"/>
      <c r="AMJ34" s="4"/>
    </row>
    <row r="35" customFormat="false" ht="15.75" hidden="false" customHeight="false" outlineLevel="0" collapsed="false">
      <c r="A35" s="23" t="s">
        <v>55</v>
      </c>
      <c r="B35" s="4" t="s">
        <v>56</v>
      </c>
      <c r="C35" s="4" t="s">
        <v>207</v>
      </c>
      <c r="D35" s="4"/>
      <c r="E35" s="4" t="n">
        <v>2</v>
      </c>
      <c r="F35" s="50" t="s">
        <v>230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4"/>
      <c r="IY35" s="4"/>
      <c r="IZ35" s="4"/>
      <c r="JA35" s="4"/>
      <c r="JB35" s="4"/>
      <c r="JC35" s="4"/>
      <c r="JD35" s="4"/>
      <c r="JE35" s="4"/>
      <c r="JF35" s="4"/>
      <c r="JG35" s="4"/>
      <c r="JH35" s="4"/>
      <c r="JI35" s="4"/>
      <c r="JJ35" s="4"/>
      <c r="JK35" s="4"/>
      <c r="JL35" s="4"/>
      <c r="JM35" s="4"/>
      <c r="JN35" s="4"/>
      <c r="JO35" s="4"/>
      <c r="JP35" s="4"/>
      <c r="JQ35" s="4"/>
      <c r="JR35" s="4"/>
      <c r="JS35" s="4"/>
      <c r="JT35" s="4"/>
      <c r="JU35" s="4"/>
      <c r="JV35" s="4"/>
      <c r="JW35" s="4"/>
      <c r="JX35" s="4"/>
      <c r="JY35" s="4"/>
      <c r="JZ35" s="4"/>
      <c r="KA35" s="4"/>
      <c r="KB35" s="4"/>
      <c r="KC35" s="4"/>
      <c r="KD35" s="4"/>
      <c r="KE35" s="4"/>
      <c r="KF35" s="4"/>
      <c r="KG35" s="4"/>
      <c r="KH35" s="4"/>
      <c r="KI35" s="4"/>
      <c r="KJ35" s="4"/>
      <c r="KK35" s="4"/>
      <c r="KL35" s="4"/>
      <c r="KM35" s="4"/>
      <c r="KN35" s="4"/>
      <c r="KO35" s="4"/>
      <c r="KP35" s="4"/>
      <c r="KQ35" s="4"/>
      <c r="KR35" s="4"/>
      <c r="KS35" s="4"/>
      <c r="KT35" s="4"/>
      <c r="KU35" s="4"/>
      <c r="KV35" s="4"/>
      <c r="KW35" s="4"/>
      <c r="KX35" s="4"/>
      <c r="KY35" s="4"/>
      <c r="KZ35" s="4"/>
      <c r="LA35" s="4"/>
      <c r="LB35" s="4"/>
      <c r="LC35" s="4"/>
      <c r="LD35" s="4"/>
      <c r="LE35" s="4"/>
      <c r="LF35" s="4"/>
      <c r="LG35" s="4"/>
      <c r="LH35" s="4"/>
      <c r="LI35" s="4"/>
      <c r="LJ35" s="4"/>
      <c r="LK35" s="4"/>
      <c r="LL35" s="4"/>
      <c r="LM35" s="4"/>
      <c r="LN35" s="4"/>
      <c r="LO35" s="4"/>
      <c r="LP35" s="4"/>
      <c r="LQ35" s="4"/>
      <c r="LR35" s="4"/>
      <c r="LS35" s="4"/>
      <c r="LT35" s="4"/>
      <c r="LU35" s="4"/>
      <c r="LV35" s="4"/>
      <c r="LW35" s="4"/>
      <c r="LX35" s="4"/>
      <c r="LY35" s="4"/>
      <c r="LZ35" s="4"/>
      <c r="MA35" s="4"/>
      <c r="MB35" s="4"/>
      <c r="MC35" s="4"/>
      <c r="MD35" s="4"/>
      <c r="ME35" s="4"/>
      <c r="MF35" s="4"/>
      <c r="MG35" s="4"/>
      <c r="MH35" s="4"/>
      <c r="MI35" s="4"/>
      <c r="MJ35" s="4"/>
      <c r="MK35" s="4"/>
      <c r="ML35" s="4"/>
      <c r="MM35" s="4"/>
      <c r="MN35" s="4"/>
      <c r="MO35" s="4"/>
      <c r="MP35" s="4"/>
      <c r="MQ35" s="4"/>
      <c r="MR35" s="4"/>
      <c r="MS35" s="4"/>
      <c r="MT35" s="4"/>
      <c r="MU35" s="4"/>
      <c r="MV35" s="4"/>
      <c r="MW35" s="4"/>
      <c r="MX35" s="4"/>
      <c r="MY35" s="4"/>
      <c r="MZ35" s="4"/>
      <c r="NA35" s="4"/>
      <c r="NB35" s="4"/>
      <c r="NC35" s="4"/>
      <c r="ND35" s="4"/>
      <c r="NE35" s="4"/>
      <c r="NF35" s="4"/>
      <c r="NG35" s="4"/>
      <c r="NH35" s="4"/>
      <c r="NI35" s="4"/>
      <c r="NJ35" s="4"/>
      <c r="NK35" s="4"/>
      <c r="NL35" s="4"/>
      <c r="NM35" s="4"/>
      <c r="NN35" s="4"/>
      <c r="NO35" s="4"/>
      <c r="NP35" s="4"/>
      <c r="NQ35" s="4"/>
      <c r="NR35" s="4"/>
      <c r="NS35" s="4"/>
      <c r="NT35" s="4"/>
      <c r="NU35" s="4"/>
      <c r="NV35" s="4"/>
      <c r="NW35" s="4"/>
      <c r="NX35" s="4"/>
      <c r="NY35" s="4"/>
      <c r="NZ35" s="4"/>
      <c r="OA35" s="4"/>
      <c r="OB35" s="4"/>
      <c r="OC35" s="4"/>
      <c r="OD35" s="4"/>
      <c r="OE35" s="4"/>
      <c r="OF35" s="4"/>
      <c r="OG35" s="4"/>
      <c r="OH35" s="4"/>
      <c r="OI35" s="4"/>
      <c r="OJ35" s="4"/>
      <c r="OK35" s="4"/>
      <c r="OL35" s="4"/>
      <c r="OM35" s="4"/>
      <c r="ON35" s="4"/>
      <c r="OO35" s="4"/>
      <c r="OP35" s="4"/>
      <c r="OQ35" s="4"/>
      <c r="OR35" s="4"/>
      <c r="OS35" s="4"/>
      <c r="OT35" s="4"/>
      <c r="OU35" s="4"/>
      <c r="OV35" s="4"/>
      <c r="OW35" s="4"/>
      <c r="OX35" s="4"/>
      <c r="OY35" s="4"/>
      <c r="OZ35" s="4"/>
      <c r="PA35" s="4"/>
      <c r="PB35" s="4"/>
      <c r="PC35" s="4"/>
      <c r="PD35" s="4"/>
      <c r="PE35" s="4"/>
      <c r="PF35" s="4"/>
      <c r="PG35" s="4"/>
      <c r="PH35" s="4"/>
      <c r="PI35" s="4"/>
      <c r="PJ35" s="4"/>
      <c r="PK35" s="4"/>
      <c r="PL35" s="4"/>
      <c r="PM35" s="4"/>
      <c r="PN35" s="4"/>
      <c r="PO35" s="4"/>
      <c r="PP35" s="4"/>
      <c r="PQ35" s="4"/>
      <c r="PR35" s="4"/>
      <c r="PS35" s="4"/>
      <c r="PT35" s="4"/>
      <c r="PU35" s="4"/>
      <c r="PV35" s="4"/>
      <c r="PW35" s="4"/>
      <c r="PX35" s="4"/>
      <c r="PY35" s="4"/>
      <c r="PZ35" s="4"/>
      <c r="QA35" s="4"/>
      <c r="QB35" s="4"/>
      <c r="QC35" s="4"/>
      <c r="QD35" s="4"/>
      <c r="QE35" s="4"/>
      <c r="QF35" s="4"/>
      <c r="QG35" s="4"/>
      <c r="QH35" s="4"/>
      <c r="QI35" s="4"/>
      <c r="QJ35" s="4"/>
      <c r="QK35" s="4"/>
      <c r="QL35" s="4"/>
      <c r="QM35" s="4"/>
      <c r="QN35" s="4"/>
      <c r="QO35" s="4"/>
      <c r="QP35" s="4"/>
      <c r="QQ35" s="4"/>
      <c r="QR35" s="4"/>
      <c r="QS35" s="4"/>
      <c r="QT35" s="4"/>
      <c r="QU35" s="4"/>
      <c r="QV35" s="4"/>
      <c r="QW35" s="4"/>
      <c r="QX35" s="4"/>
      <c r="QY35" s="4"/>
      <c r="QZ35" s="4"/>
      <c r="RA35" s="4"/>
      <c r="RB35" s="4"/>
      <c r="RC35" s="4"/>
      <c r="RD35" s="4"/>
      <c r="RE35" s="4"/>
      <c r="RF35" s="4"/>
      <c r="RG35" s="4"/>
      <c r="RH35" s="4"/>
      <c r="RI35" s="4"/>
      <c r="RJ35" s="4"/>
      <c r="RK35" s="4"/>
      <c r="RL35" s="4"/>
      <c r="RM35" s="4"/>
      <c r="RN35" s="4"/>
      <c r="RO35" s="4"/>
      <c r="RP35" s="4"/>
      <c r="RQ35" s="4"/>
      <c r="RR35" s="4"/>
      <c r="RS35" s="4"/>
      <c r="RT35" s="4"/>
      <c r="RU35" s="4"/>
      <c r="RV35" s="4"/>
      <c r="RW35" s="4"/>
      <c r="RX35" s="4"/>
      <c r="RY35" s="4"/>
      <c r="RZ35" s="4"/>
      <c r="SA35" s="4"/>
      <c r="SB35" s="4"/>
      <c r="SC35" s="4"/>
      <c r="SD35" s="4"/>
      <c r="SE35" s="4"/>
      <c r="SF35" s="4"/>
      <c r="SG35" s="4"/>
      <c r="SH35" s="4"/>
      <c r="SI35" s="4"/>
      <c r="SJ35" s="4"/>
      <c r="SK35" s="4"/>
      <c r="SL35" s="4"/>
      <c r="SM35" s="4"/>
      <c r="SN35" s="4"/>
      <c r="SO35" s="4"/>
      <c r="SP35" s="4"/>
      <c r="SQ35" s="4"/>
      <c r="SR35" s="4"/>
      <c r="SS35" s="4"/>
      <c r="ST35" s="4"/>
      <c r="SU35" s="4"/>
      <c r="SV35" s="4"/>
      <c r="SW35" s="4"/>
      <c r="SX35" s="4"/>
      <c r="SY35" s="4"/>
      <c r="SZ35" s="4"/>
      <c r="TA35" s="4"/>
      <c r="TB35" s="4"/>
      <c r="TC35" s="4"/>
      <c r="TD35" s="4"/>
      <c r="TE35" s="4"/>
      <c r="TF35" s="4"/>
      <c r="TG35" s="4"/>
      <c r="TH35" s="4"/>
      <c r="TI35" s="4"/>
      <c r="TJ35" s="4"/>
      <c r="TK35" s="4"/>
      <c r="TL35" s="4"/>
      <c r="TM35" s="4"/>
      <c r="TN35" s="4"/>
      <c r="TO35" s="4"/>
      <c r="TP35" s="4"/>
      <c r="TQ35" s="4"/>
      <c r="TR35" s="4"/>
      <c r="TS35" s="4"/>
      <c r="TT35" s="4"/>
      <c r="TU35" s="4"/>
      <c r="TV35" s="4"/>
      <c r="TW35" s="4"/>
      <c r="TX35" s="4"/>
      <c r="TY35" s="4"/>
      <c r="TZ35" s="4"/>
      <c r="UA35" s="4"/>
      <c r="UB35" s="4"/>
      <c r="UC35" s="4"/>
      <c r="UD35" s="4"/>
      <c r="UE35" s="4"/>
      <c r="UF35" s="4"/>
      <c r="UG35" s="4"/>
      <c r="UH35" s="4"/>
      <c r="UI35" s="4"/>
      <c r="UJ35" s="4"/>
      <c r="UK35" s="4"/>
      <c r="UL35" s="4"/>
      <c r="UM35" s="4"/>
      <c r="UN35" s="4"/>
      <c r="UO35" s="4"/>
      <c r="UP35" s="4"/>
      <c r="UQ35" s="4"/>
      <c r="UR35" s="4"/>
      <c r="US35" s="4"/>
      <c r="UT35" s="4"/>
      <c r="UU35" s="4"/>
      <c r="UV35" s="4"/>
      <c r="UW35" s="4"/>
      <c r="UX35" s="4"/>
      <c r="UY35" s="4"/>
      <c r="UZ35" s="4"/>
      <c r="VA35" s="4"/>
      <c r="VB35" s="4"/>
      <c r="VC35" s="4"/>
      <c r="VD35" s="4"/>
      <c r="VE35" s="4"/>
      <c r="VF35" s="4"/>
      <c r="VG35" s="4"/>
      <c r="VH35" s="4"/>
      <c r="VI35" s="4"/>
      <c r="VJ35" s="4"/>
      <c r="VK35" s="4"/>
      <c r="VL35" s="4"/>
      <c r="VM35" s="4"/>
      <c r="VN35" s="4"/>
      <c r="VO35" s="4"/>
      <c r="VP35" s="4"/>
      <c r="VQ35" s="4"/>
      <c r="VR35" s="4"/>
      <c r="VS35" s="4"/>
      <c r="VT35" s="4"/>
      <c r="VU35" s="4"/>
      <c r="VV35" s="4"/>
      <c r="VW35" s="4"/>
      <c r="VX35" s="4"/>
      <c r="VY35" s="4"/>
      <c r="VZ35" s="4"/>
      <c r="WA35" s="4"/>
      <c r="WB35" s="4"/>
      <c r="WC35" s="4"/>
      <c r="WD35" s="4"/>
      <c r="WE35" s="4"/>
      <c r="WF35" s="4"/>
      <c r="WG35" s="4"/>
      <c r="WH35" s="4"/>
      <c r="WI35" s="4"/>
      <c r="WJ35" s="4"/>
      <c r="WK35" s="4"/>
      <c r="WL35" s="4"/>
      <c r="WM35" s="4"/>
      <c r="WN35" s="4"/>
      <c r="WO35" s="4"/>
      <c r="WP35" s="4"/>
      <c r="WQ35" s="4"/>
      <c r="WR35" s="4"/>
      <c r="WS35" s="4"/>
      <c r="WT35" s="4"/>
      <c r="WU35" s="4"/>
      <c r="WV35" s="4"/>
      <c r="WW35" s="4"/>
      <c r="WX35" s="4"/>
      <c r="WY35" s="4"/>
      <c r="WZ35" s="4"/>
      <c r="XA35" s="4"/>
      <c r="XB35" s="4"/>
      <c r="XC35" s="4"/>
      <c r="XD35" s="4"/>
      <c r="XE35" s="4"/>
      <c r="XF35" s="4"/>
      <c r="XG35" s="4"/>
      <c r="XH35" s="4"/>
      <c r="XI35" s="4"/>
      <c r="XJ35" s="4"/>
      <c r="XK35" s="4"/>
      <c r="XL35" s="4"/>
      <c r="XM35" s="4"/>
      <c r="XN35" s="4"/>
      <c r="XO35" s="4"/>
      <c r="XP35" s="4"/>
      <c r="XQ35" s="4"/>
      <c r="XR35" s="4"/>
      <c r="XS35" s="4"/>
      <c r="XT35" s="4"/>
      <c r="XU35" s="4"/>
      <c r="XV35" s="4"/>
      <c r="XW35" s="4"/>
      <c r="XX35" s="4"/>
      <c r="XY35" s="4"/>
      <c r="XZ35" s="4"/>
      <c r="YA35" s="4"/>
      <c r="YB35" s="4"/>
      <c r="YC35" s="4"/>
      <c r="YD35" s="4"/>
      <c r="YE35" s="4"/>
      <c r="YF35" s="4"/>
      <c r="YG35" s="4"/>
      <c r="YH35" s="4"/>
      <c r="YI35" s="4"/>
      <c r="YJ35" s="4"/>
      <c r="YK35" s="4"/>
      <c r="YL35" s="4"/>
      <c r="YM35" s="4"/>
      <c r="YN35" s="4"/>
      <c r="YO35" s="4"/>
      <c r="YP35" s="4"/>
      <c r="YQ35" s="4"/>
      <c r="YR35" s="4"/>
      <c r="YS35" s="4"/>
      <c r="YT35" s="4"/>
      <c r="YU35" s="4"/>
      <c r="YV35" s="4"/>
      <c r="YW35" s="4"/>
      <c r="YX35" s="4"/>
      <c r="YY35" s="4"/>
      <c r="YZ35" s="4"/>
      <c r="ZA35" s="4"/>
      <c r="ZB35" s="4"/>
      <c r="ZC35" s="4"/>
      <c r="ZD35" s="4"/>
      <c r="ZE35" s="4"/>
      <c r="ZF35" s="4"/>
      <c r="ZG35" s="4"/>
      <c r="ZH35" s="4"/>
      <c r="ZI35" s="4"/>
      <c r="ZJ35" s="4"/>
      <c r="ZK35" s="4"/>
      <c r="ZL35" s="4"/>
      <c r="ZM35" s="4"/>
      <c r="ZN35" s="4"/>
      <c r="ZO35" s="4"/>
      <c r="ZP35" s="4"/>
      <c r="ZQ35" s="4"/>
      <c r="ZR35" s="4"/>
      <c r="ZS35" s="4"/>
      <c r="ZT35" s="4"/>
      <c r="ZU35" s="4"/>
      <c r="ZV35" s="4"/>
      <c r="ZW35" s="4"/>
      <c r="ZX35" s="4"/>
      <c r="ZY35" s="4"/>
      <c r="ZZ35" s="4"/>
      <c r="AAA35" s="4"/>
      <c r="AAB35" s="4"/>
      <c r="AAC35" s="4"/>
      <c r="AAD35" s="4"/>
      <c r="AAE35" s="4"/>
      <c r="AAF35" s="4"/>
      <c r="AAG35" s="4"/>
      <c r="AAH35" s="4"/>
      <c r="AAI35" s="4"/>
      <c r="AAJ35" s="4"/>
      <c r="AAK35" s="4"/>
      <c r="AAL35" s="4"/>
      <c r="AAM35" s="4"/>
      <c r="AAN35" s="4"/>
      <c r="AAO35" s="4"/>
      <c r="AAP35" s="4"/>
      <c r="AAQ35" s="4"/>
      <c r="AAR35" s="4"/>
      <c r="AAS35" s="4"/>
      <c r="AAT35" s="4"/>
      <c r="AAU35" s="4"/>
      <c r="AAV35" s="4"/>
      <c r="AAW35" s="4"/>
      <c r="AAX35" s="4"/>
      <c r="AAY35" s="4"/>
      <c r="AAZ35" s="4"/>
      <c r="ABA35" s="4"/>
      <c r="ABB35" s="4"/>
      <c r="ABC35" s="4"/>
      <c r="ABD35" s="4"/>
      <c r="ABE35" s="4"/>
      <c r="ABF35" s="4"/>
      <c r="ABG35" s="4"/>
      <c r="ABH35" s="4"/>
      <c r="ABI35" s="4"/>
      <c r="ABJ35" s="4"/>
      <c r="ABK35" s="4"/>
      <c r="ABL35" s="4"/>
      <c r="ABM35" s="4"/>
      <c r="ABN35" s="4"/>
      <c r="ABO35" s="4"/>
      <c r="ABP35" s="4"/>
      <c r="ABQ35" s="4"/>
      <c r="ABR35" s="4"/>
      <c r="ABS35" s="4"/>
      <c r="ABT35" s="4"/>
      <c r="ABU35" s="4"/>
      <c r="ABV35" s="4"/>
      <c r="ABW35" s="4"/>
      <c r="ABX35" s="4"/>
      <c r="ABY35" s="4"/>
      <c r="ABZ35" s="4"/>
      <c r="ACA35" s="4"/>
      <c r="ACB35" s="4"/>
      <c r="ACC35" s="4"/>
      <c r="ACD35" s="4"/>
      <c r="ACE35" s="4"/>
      <c r="ACF35" s="4"/>
      <c r="ACG35" s="4"/>
      <c r="ACH35" s="4"/>
      <c r="ACI35" s="4"/>
      <c r="ACJ35" s="4"/>
      <c r="ACK35" s="4"/>
      <c r="ACL35" s="4"/>
      <c r="ACM35" s="4"/>
      <c r="ACN35" s="4"/>
      <c r="ACO35" s="4"/>
      <c r="ACP35" s="4"/>
      <c r="ACQ35" s="4"/>
      <c r="ACR35" s="4"/>
      <c r="ACS35" s="4"/>
      <c r="ACT35" s="4"/>
      <c r="ACU35" s="4"/>
      <c r="ACV35" s="4"/>
      <c r="ACW35" s="4"/>
      <c r="ACX35" s="4"/>
      <c r="ACY35" s="4"/>
      <c r="ACZ35" s="4"/>
      <c r="ADA35" s="4"/>
      <c r="ADB35" s="4"/>
      <c r="ADC35" s="4"/>
      <c r="ADD35" s="4"/>
      <c r="ADE35" s="4"/>
      <c r="ADF35" s="4"/>
      <c r="ADG35" s="4"/>
      <c r="ADH35" s="4"/>
      <c r="ADI35" s="4"/>
      <c r="ADJ35" s="4"/>
      <c r="ADK35" s="4"/>
      <c r="ADL35" s="4"/>
      <c r="ADM35" s="4"/>
      <c r="ADN35" s="4"/>
      <c r="ADO35" s="4"/>
      <c r="ADP35" s="4"/>
      <c r="ADQ35" s="4"/>
      <c r="ADR35" s="4"/>
      <c r="ADS35" s="4"/>
      <c r="ADT35" s="4"/>
      <c r="ADU35" s="4"/>
      <c r="ADV35" s="4"/>
      <c r="ADW35" s="4"/>
      <c r="ADX35" s="4"/>
      <c r="ADY35" s="4"/>
      <c r="ADZ35" s="4"/>
      <c r="AEA35" s="4"/>
      <c r="AEB35" s="4"/>
      <c r="AEC35" s="4"/>
      <c r="AED35" s="4"/>
      <c r="AEE35" s="4"/>
      <c r="AEF35" s="4"/>
      <c r="AEG35" s="4"/>
      <c r="AEH35" s="4"/>
      <c r="AEI35" s="4"/>
      <c r="AEJ35" s="4"/>
      <c r="AEK35" s="4"/>
      <c r="AEL35" s="4"/>
      <c r="AEM35" s="4"/>
      <c r="AEN35" s="4"/>
      <c r="AEO35" s="4"/>
      <c r="AEP35" s="4"/>
      <c r="AEQ35" s="4"/>
      <c r="AER35" s="4"/>
      <c r="AES35" s="4"/>
      <c r="AET35" s="4"/>
      <c r="AEU35" s="4"/>
      <c r="AEV35" s="4"/>
      <c r="AEW35" s="4"/>
      <c r="AEX35" s="4"/>
      <c r="AEY35" s="4"/>
      <c r="AEZ35" s="4"/>
      <c r="AFA35" s="4"/>
      <c r="AFB35" s="4"/>
      <c r="AFC35" s="4"/>
      <c r="AFD35" s="4"/>
      <c r="AFE35" s="4"/>
      <c r="AFF35" s="4"/>
      <c r="AFG35" s="4"/>
      <c r="AFH35" s="4"/>
      <c r="AFI35" s="4"/>
      <c r="AFJ35" s="4"/>
      <c r="AFK35" s="4"/>
      <c r="AFL35" s="4"/>
      <c r="AFM35" s="4"/>
      <c r="AFN35" s="4"/>
      <c r="AFO35" s="4"/>
      <c r="AFP35" s="4"/>
      <c r="AFQ35" s="4"/>
      <c r="AFR35" s="4"/>
      <c r="AFS35" s="4"/>
      <c r="AFT35" s="4"/>
      <c r="AFU35" s="4"/>
      <c r="AFV35" s="4"/>
      <c r="AFW35" s="4"/>
      <c r="AFX35" s="4"/>
      <c r="AFY35" s="4"/>
      <c r="AFZ35" s="4"/>
      <c r="AGA35" s="4"/>
      <c r="AGB35" s="4"/>
      <c r="AGC35" s="4"/>
      <c r="AGD35" s="4"/>
      <c r="AGE35" s="4"/>
      <c r="AGF35" s="4"/>
      <c r="AGG35" s="4"/>
      <c r="AGH35" s="4"/>
      <c r="AGI35" s="4"/>
      <c r="AGJ35" s="4"/>
      <c r="AGK35" s="4"/>
      <c r="AGL35" s="4"/>
      <c r="AGM35" s="4"/>
      <c r="AGN35" s="4"/>
      <c r="AGO35" s="4"/>
      <c r="AGP35" s="4"/>
      <c r="AGQ35" s="4"/>
      <c r="AGR35" s="4"/>
      <c r="AGS35" s="4"/>
      <c r="AGT35" s="4"/>
      <c r="AGU35" s="4"/>
      <c r="AGV35" s="4"/>
      <c r="AGW35" s="4"/>
      <c r="AGX35" s="4"/>
      <c r="AGY35" s="4"/>
      <c r="AGZ35" s="4"/>
      <c r="AHA35" s="4"/>
      <c r="AHB35" s="4"/>
      <c r="AHC35" s="4"/>
      <c r="AHD35" s="4"/>
      <c r="AHE35" s="4"/>
      <c r="AHF35" s="4"/>
      <c r="AHG35" s="4"/>
      <c r="AHH35" s="4"/>
      <c r="AHI35" s="4"/>
      <c r="AHJ35" s="4"/>
      <c r="AHK35" s="4"/>
      <c r="AHL35" s="4"/>
      <c r="AHM35" s="4"/>
      <c r="AHN35" s="4"/>
      <c r="AHO35" s="4"/>
      <c r="AHP35" s="4"/>
      <c r="AHQ35" s="4"/>
      <c r="AHR35" s="4"/>
      <c r="AHS35" s="4"/>
      <c r="AHT35" s="4"/>
      <c r="AHU35" s="4"/>
      <c r="AHV35" s="4"/>
      <c r="AHW35" s="4"/>
      <c r="AHX35" s="4"/>
      <c r="AHY35" s="4"/>
      <c r="AHZ35" s="4"/>
      <c r="AIA35" s="4"/>
      <c r="AIB35" s="4"/>
      <c r="AIC35" s="4"/>
      <c r="AID35" s="4"/>
      <c r="AIE35" s="4"/>
      <c r="AIF35" s="4"/>
      <c r="AIG35" s="4"/>
      <c r="AIH35" s="4"/>
      <c r="AII35" s="4"/>
      <c r="AIJ35" s="4"/>
      <c r="AIK35" s="4"/>
      <c r="AIL35" s="4"/>
      <c r="AIM35" s="4"/>
      <c r="AIN35" s="4"/>
      <c r="AIO35" s="4"/>
      <c r="AIP35" s="4"/>
      <c r="AIQ35" s="4"/>
      <c r="AIR35" s="4"/>
      <c r="AIS35" s="4"/>
      <c r="AIT35" s="4"/>
      <c r="AIU35" s="4"/>
      <c r="AIV35" s="4"/>
      <c r="AIW35" s="4"/>
      <c r="AIX35" s="4"/>
      <c r="AIY35" s="4"/>
      <c r="AIZ35" s="4"/>
      <c r="AJA35" s="4"/>
      <c r="AJB35" s="4"/>
      <c r="AJC35" s="4"/>
      <c r="AJD35" s="4"/>
      <c r="AJE35" s="4"/>
      <c r="AJF35" s="4"/>
      <c r="AJG35" s="4"/>
      <c r="AJH35" s="4"/>
      <c r="AJI35" s="4"/>
      <c r="AJJ35" s="4"/>
      <c r="AJK35" s="4"/>
      <c r="AJL35" s="4"/>
      <c r="AJM35" s="4"/>
      <c r="AJN35" s="4"/>
      <c r="AJO35" s="4"/>
      <c r="AJP35" s="4"/>
      <c r="AJQ35" s="4"/>
      <c r="AJR35" s="4"/>
      <c r="AJS35" s="4"/>
      <c r="AJT35" s="4"/>
      <c r="AJU35" s="4"/>
      <c r="AJV35" s="4"/>
      <c r="AJW35" s="4"/>
      <c r="AJX35" s="4"/>
      <c r="AJY35" s="4"/>
      <c r="AJZ35" s="4"/>
      <c r="AKA35" s="4"/>
      <c r="AKB35" s="4"/>
      <c r="AKC35" s="4"/>
      <c r="AKD35" s="4"/>
      <c r="AKE35" s="4"/>
      <c r="AKF35" s="4"/>
      <c r="AKG35" s="4"/>
      <c r="AKH35" s="4"/>
      <c r="AKI35" s="4"/>
      <c r="AKJ35" s="4"/>
      <c r="AKK35" s="4"/>
      <c r="AKL35" s="4"/>
      <c r="AKM35" s="4"/>
      <c r="AKN35" s="4"/>
      <c r="AKO35" s="4"/>
      <c r="AKP35" s="4"/>
      <c r="AKQ35" s="4"/>
      <c r="AKR35" s="4"/>
      <c r="AKS35" s="4"/>
      <c r="AKT35" s="4"/>
      <c r="AKU35" s="4"/>
      <c r="AKV35" s="4"/>
      <c r="AKW35" s="4"/>
      <c r="AKX35" s="4"/>
      <c r="AKY35" s="4"/>
      <c r="AKZ35" s="4"/>
      <c r="ALA35" s="4"/>
      <c r="ALB35" s="4"/>
      <c r="ALC35" s="4"/>
      <c r="ALD35" s="4"/>
      <c r="ALE35" s="4"/>
      <c r="ALF35" s="4"/>
      <c r="ALG35" s="4"/>
      <c r="ALH35" s="4"/>
      <c r="ALI35" s="4"/>
      <c r="ALJ35" s="4"/>
      <c r="ALK35" s="4"/>
      <c r="ALL35" s="4"/>
      <c r="ALM35" s="4"/>
      <c r="ALN35" s="4"/>
      <c r="ALO35" s="4"/>
      <c r="ALP35" s="4"/>
      <c r="ALQ35" s="4"/>
      <c r="ALR35" s="4"/>
      <c r="ALS35" s="4"/>
      <c r="ALT35" s="4"/>
      <c r="ALU35" s="4"/>
      <c r="ALV35" s="4"/>
      <c r="ALW35" s="4"/>
      <c r="ALX35" s="4"/>
      <c r="ALY35" s="4"/>
      <c r="ALZ35" s="4"/>
      <c r="AMA35" s="4"/>
      <c r="AMB35" s="4"/>
      <c r="AMC35" s="4"/>
      <c r="AMD35" s="4"/>
      <c r="AME35" s="4"/>
      <c r="AMF35" s="4"/>
      <c r="AMG35" s="4"/>
      <c r="AMH35" s="4"/>
      <c r="AMI35" s="4"/>
      <c r="AMJ35" s="4"/>
    </row>
    <row r="36" customFormat="false" ht="15.75" hidden="false" customHeight="false" outlineLevel="0" collapsed="false">
      <c r="A36" s="23" t="s">
        <v>231</v>
      </c>
      <c r="B36" s="4" t="s">
        <v>232</v>
      </c>
      <c r="C36" s="40" t="s">
        <v>206</v>
      </c>
      <c r="E36" s="40" t="n">
        <v>1</v>
      </c>
      <c r="F36" s="50" t="s">
        <v>230</v>
      </c>
    </row>
    <row r="37" customFormat="false" ht="15.75" hidden="false" customHeight="false" outlineLevel="0" collapsed="false">
      <c r="A37" s="23" t="s">
        <v>233</v>
      </c>
      <c r="B37" s="4" t="s">
        <v>234</v>
      </c>
      <c r="C37" s="40" t="s">
        <v>204</v>
      </c>
      <c r="E37" s="40" t="n">
        <v>0</v>
      </c>
      <c r="F37" s="50" t="s">
        <v>230</v>
      </c>
    </row>
    <row r="38" s="39" customFormat="true" ht="15.75" hidden="false" customHeight="false" outlineLevel="0" collapsed="false">
      <c r="B38" s="27" t="s">
        <v>219</v>
      </c>
      <c r="C38" s="28" t="s">
        <v>235</v>
      </c>
    </row>
    <row r="39" s="39" customFormat="true" ht="15.75" hidden="false" customHeight="false" outlineLevel="0" collapsed="false">
      <c r="B39" s="29" t="s">
        <v>221</v>
      </c>
      <c r="C39" s="30" t="s">
        <v>236</v>
      </c>
    </row>
    <row r="40" s="39" customFormat="true" ht="15.75" hidden="false" customHeight="false" outlineLevel="0" collapsed="false">
      <c r="B40" s="31" t="s">
        <v>223</v>
      </c>
      <c r="C40" s="32" t="s">
        <v>237</v>
      </c>
    </row>
    <row r="41" s="39" customFormat="true" ht="15.75" hidden="false" customHeight="false" outlineLevel="0" collapsed="false">
      <c r="B41" s="33" t="s">
        <v>238</v>
      </c>
      <c r="C41" s="33" t="s">
        <v>239</v>
      </c>
    </row>
  </sheetData>
  <conditionalFormatting sqref="B11">
    <cfRule type="duplicateValues" priority="2" aboveAverage="0" equalAverage="0" bottom="0" percent="0" rank="0" text="" dxfId="1"/>
  </conditionalFormatting>
  <conditionalFormatting sqref="B12">
    <cfRule type="duplicateValues" priority="3" aboveAverage="0" equalAverage="0" bottom="0" percent="0" rank="0" text="" dxfId="2"/>
  </conditionalFormatting>
  <conditionalFormatting sqref="B13">
    <cfRule type="duplicateValues" priority="4" aboveAverage="0" equalAverage="0" bottom="0" percent="0" rank="0" text="" dxfId="3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0"/>
  <sheetViews>
    <sheetView showFormulas="false" showGridLines="true" showRowColHeaders="true" showZeros="true" rightToLeft="false" tabSelected="false" showOutlineSymbols="true" defaultGridColor="true" view="normal" topLeftCell="A40" colorId="64" zoomScale="80" zoomScaleNormal="80" zoomScalePageLayoutView="100" workbookViewId="0">
      <selection pane="topLeft" activeCell="D91" activeCellId="0" sqref="D91"/>
    </sheetView>
  </sheetViews>
  <sheetFormatPr defaultColWidth="14.2890625" defaultRowHeight="13.5" zeroHeight="false" outlineLevelRow="0" outlineLevelCol="0"/>
  <cols>
    <col collapsed="false" customWidth="true" hidden="false" outlineLevel="0" max="1" min="1" style="53" width="26.71"/>
    <col collapsed="false" customWidth="true" hidden="false" outlineLevel="0" max="2" min="2" style="53" width="24.29"/>
    <col collapsed="false" customWidth="false" hidden="false" outlineLevel="0" max="3" min="3" style="53" width="14.29"/>
    <col collapsed="false" customWidth="false" hidden="false" outlineLevel="0" max="4" min="4" style="54" width="14.29"/>
    <col collapsed="false" customWidth="false" hidden="false" outlineLevel="0" max="5" min="5" style="55" width="14.29"/>
    <col collapsed="false" customWidth="true" hidden="false" outlineLevel="0" max="6" min="6" style="53" width="56.43"/>
    <col collapsed="false" customWidth="true" hidden="false" outlineLevel="0" max="7" min="7" style="53" width="57.86"/>
    <col collapsed="false" customWidth="true" hidden="false" outlineLevel="0" max="8" min="8" style="53" width="17"/>
    <col collapsed="false" customWidth="false" hidden="false" outlineLevel="0" max="1024" min="9" style="53" width="14.29"/>
    <col collapsed="false" customWidth="false" hidden="false" outlineLevel="0" max="16384" min="1025" style="56" width="14.29"/>
  </cols>
  <sheetData>
    <row r="1" customFormat="false" ht="13.5" hidden="false" customHeight="false" outlineLevel="0" collapsed="false">
      <c r="A1" s="53" t="s">
        <v>0</v>
      </c>
      <c r="B1" s="53" t="s">
        <v>1</v>
      </c>
      <c r="C1" s="53" t="s">
        <v>200</v>
      </c>
      <c r="D1" s="54" t="s">
        <v>201</v>
      </c>
      <c r="E1" s="55" t="s">
        <v>2</v>
      </c>
      <c r="F1" s="53" t="s">
        <v>202</v>
      </c>
    </row>
    <row r="2" customFormat="false" ht="13.5" hidden="false" customHeight="false" outlineLevel="0" collapsed="false">
      <c r="A2" s="53" t="s">
        <v>177</v>
      </c>
      <c r="B2" s="53" t="s">
        <v>240</v>
      </c>
      <c r="C2" s="53" t="s">
        <v>241</v>
      </c>
      <c r="E2" s="57" t="n">
        <v>2</v>
      </c>
      <c r="F2" s="56" t="s">
        <v>242</v>
      </c>
    </row>
    <row r="3" customFormat="false" ht="13.5" hidden="false" customHeight="false" outlineLevel="0" collapsed="false">
      <c r="A3" s="53" t="s">
        <v>177</v>
      </c>
      <c r="B3" s="53" t="s">
        <v>240</v>
      </c>
      <c r="C3" s="53" t="s">
        <v>243</v>
      </c>
      <c r="E3" s="55" t="n">
        <v>0</v>
      </c>
    </row>
    <row r="4" customFormat="false" ht="13.5" hidden="false" customHeight="false" outlineLevel="0" collapsed="false">
      <c r="A4" s="53" t="s">
        <v>177</v>
      </c>
      <c r="B4" s="53" t="s">
        <v>240</v>
      </c>
      <c r="C4" s="53" t="s">
        <v>244</v>
      </c>
      <c r="E4" s="55" t="n">
        <v>0</v>
      </c>
    </row>
    <row r="5" customFormat="false" ht="13.5" hidden="false" customHeight="false" outlineLevel="0" collapsed="false">
      <c r="A5" s="53" t="s">
        <v>177</v>
      </c>
      <c r="B5" s="53" t="s">
        <v>240</v>
      </c>
      <c r="C5" s="53" t="s">
        <v>245</v>
      </c>
      <c r="E5" s="55" t="n">
        <v>0</v>
      </c>
    </row>
    <row r="6" customFormat="false" ht="13.5" hidden="false" customHeight="false" outlineLevel="0" collapsed="false">
      <c r="A6" s="53" t="s">
        <v>177</v>
      </c>
      <c r="B6" s="53" t="s">
        <v>240</v>
      </c>
      <c r="C6" s="53" t="s">
        <v>246</v>
      </c>
      <c r="E6" s="57" t="n">
        <v>4</v>
      </c>
      <c r="F6" s="56" t="s">
        <v>247</v>
      </c>
    </row>
    <row r="7" customFormat="false" ht="13.5" hidden="false" customHeight="false" outlineLevel="0" collapsed="false">
      <c r="A7" s="53" t="s">
        <v>177</v>
      </c>
      <c r="B7" s="53" t="s">
        <v>240</v>
      </c>
      <c r="C7" s="53" t="s">
        <v>248</v>
      </c>
      <c r="E7" s="55" t="n">
        <v>0</v>
      </c>
    </row>
    <row r="8" customFormat="false" ht="13.5" hidden="false" customHeight="false" outlineLevel="0" collapsed="false">
      <c r="A8" s="53" t="s">
        <v>177</v>
      </c>
      <c r="B8" s="53" t="s">
        <v>240</v>
      </c>
      <c r="C8" s="53" t="s">
        <v>249</v>
      </c>
      <c r="E8" s="55" t="n">
        <v>0</v>
      </c>
    </row>
    <row r="9" customFormat="false" ht="13.5" hidden="false" customHeight="false" outlineLevel="0" collapsed="false">
      <c r="A9" s="53" t="s">
        <v>177</v>
      </c>
      <c r="B9" s="53" t="s">
        <v>240</v>
      </c>
      <c r="C9" s="53" t="s">
        <v>250</v>
      </c>
      <c r="E9" s="57" t="n">
        <v>4</v>
      </c>
      <c r="F9" s="56" t="s">
        <v>251</v>
      </c>
    </row>
    <row r="10" customFormat="false" ht="13.5" hidden="false" customHeight="false" outlineLevel="0" collapsed="false">
      <c r="A10" s="53" t="s">
        <v>177</v>
      </c>
      <c r="B10" s="53" t="s">
        <v>240</v>
      </c>
      <c r="C10" s="53" t="s">
        <v>252</v>
      </c>
      <c r="E10" s="57" t="n">
        <v>7</v>
      </c>
      <c r="F10" s="56" t="s">
        <v>253</v>
      </c>
    </row>
    <row r="11" customFormat="false" ht="13.5" hidden="false" customHeight="false" outlineLevel="0" collapsed="false">
      <c r="A11" s="53" t="s">
        <v>10</v>
      </c>
      <c r="B11" s="53" t="s">
        <v>254</v>
      </c>
      <c r="C11" s="53" t="s">
        <v>255</v>
      </c>
      <c r="D11" s="58" t="n">
        <v>1</v>
      </c>
      <c r="E11" s="55" t="n">
        <v>0</v>
      </c>
    </row>
    <row r="12" customFormat="false" ht="13.5" hidden="false" customHeight="false" outlineLevel="0" collapsed="false">
      <c r="A12" s="53" t="s">
        <v>10</v>
      </c>
      <c r="B12" s="53" t="s">
        <v>254</v>
      </c>
      <c r="C12" s="53" t="s">
        <v>256</v>
      </c>
      <c r="D12" s="58" t="n">
        <v>0.83</v>
      </c>
      <c r="E12" s="55" t="n">
        <v>0</v>
      </c>
    </row>
    <row r="13" customFormat="false" ht="13.5" hidden="false" customHeight="false" outlineLevel="0" collapsed="false">
      <c r="A13" s="53" t="s">
        <v>10</v>
      </c>
      <c r="B13" s="53" t="s">
        <v>254</v>
      </c>
      <c r="C13" s="53" t="s">
        <v>257</v>
      </c>
      <c r="D13" s="58" t="n">
        <v>0.61</v>
      </c>
      <c r="E13" s="55" t="n">
        <v>0</v>
      </c>
    </row>
    <row r="14" customFormat="false" ht="13.5" hidden="false" customHeight="false" outlineLevel="0" collapsed="false">
      <c r="A14" s="53" t="s">
        <v>10</v>
      </c>
      <c r="B14" s="53" t="s">
        <v>254</v>
      </c>
      <c r="C14" s="53" t="s">
        <v>258</v>
      </c>
      <c r="D14" s="58" t="n">
        <v>0.66</v>
      </c>
      <c r="E14" s="57" t="n">
        <v>1</v>
      </c>
      <c r="F14" s="53" t="s">
        <v>259</v>
      </c>
      <c r="G14" s="53" t="s">
        <v>260</v>
      </c>
    </row>
    <row r="15" customFormat="false" ht="13.5" hidden="false" customHeight="false" outlineLevel="0" collapsed="false">
      <c r="A15" s="53" t="s">
        <v>10</v>
      </c>
      <c r="B15" s="53" t="s">
        <v>254</v>
      </c>
      <c r="C15" s="53" t="s">
        <v>261</v>
      </c>
      <c r="D15" s="58" t="n">
        <v>0.48</v>
      </c>
      <c r="E15" s="57" t="n">
        <v>2</v>
      </c>
      <c r="F15" s="53" t="s">
        <v>259</v>
      </c>
      <c r="G15" s="53" t="s">
        <v>260</v>
      </c>
    </row>
    <row r="16" customFormat="false" ht="13.5" hidden="false" customHeight="false" outlineLevel="0" collapsed="false">
      <c r="A16" s="53" t="s">
        <v>10</v>
      </c>
      <c r="B16" s="53" t="s">
        <v>254</v>
      </c>
      <c r="C16" s="53" t="s">
        <v>262</v>
      </c>
      <c r="D16" s="58" t="s">
        <v>263</v>
      </c>
      <c r="E16" s="57" t="n">
        <v>2</v>
      </c>
      <c r="F16" s="53" t="s">
        <v>259</v>
      </c>
      <c r="G16" s="53" t="s">
        <v>260</v>
      </c>
    </row>
    <row r="17" customFormat="false" ht="13.5" hidden="false" customHeight="false" outlineLevel="0" collapsed="false">
      <c r="A17" s="53" t="s">
        <v>10</v>
      </c>
      <c r="B17" s="53" t="s">
        <v>254</v>
      </c>
      <c r="C17" s="53" t="s">
        <v>264</v>
      </c>
      <c r="D17" s="58" t="n">
        <v>0.25</v>
      </c>
      <c r="E17" s="57" t="n">
        <v>3</v>
      </c>
      <c r="F17" s="53" t="s">
        <v>259</v>
      </c>
      <c r="G17" s="53" t="s">
        <v>260</v>
      </c>
    </row>
    <row r="18" customFormat="false" ht="13.5" hidden="false" customHeight="false" outlineLevel="0" collapsed="false">
      <c r="A18" s="53" t="s">
        <v>10</v>
      </c>
      <c r="B18" s="53" t="s">
        <v>254</v>
      </c>
      <c r="C18" s="53" t="s">
        <v>265</v>
      </c>
      <c r="D18" s="58" t="s">
        <v>263</v>
      </c>
      <c r="E18" s="57" t="n">
        <v>2</v>
      </c>
      <c r="F18" s="53" t="s">
        <v>259</v>
      </c>
      <c r="G18" s="53" t="s">
        <v>260</v>
      </c>
    </row>
    <row r="19" customFormat="false" ht="13.5" hidden="false" customHeight="false" outlineLevel="0" collapsed="false">
      <c r="A19" s="53" t="s">
        <v>10</v>
      </c>
      <c r="B19" s="53" t="s">
        <v>254</v>
      </c>
      <c r="C19" s="53" t="s">
        <v>266</v>
      </c>
      <c r="D19" s="58" t="s">
        <v>263</v>
      </c>
      <c r="E19" s="57" t="n">
        <v>2</v>
      </c>
      <c r="F19" s="53" t="s">
        <v>259</v>
      </c>
      <c r="G19" s="53" t="s">
        <v>260</v>
      </c>
    </row>
    <row r="20" customFormat="false" ht="13.5" hidden="false" customHeight="false" outlineLevel="0" collapsed="false">
      <c r="A20" s="53" t="s">
        <v>75</v>
      </c>
      <c r="B20" s="53" t="s">
        <v>76</v>
      </c>
      <c r="C20" s="53" t="s">
        <v>207</v>
      </c>
      <c r="E20" s="57" t="n">
        <v>1</v>
      </c>
    </row>
    <row r="21" customFormat="false" ht="13.5" hidden="false" customHeight="false" outlineLevel="0" collapsed="false">
      <c r="A21" s="53" t="s">
        <v>75</v>
      </c>
      <c r="B21" s="53" t="s">
        <v>76</v>
      </c>
      <c r="C21" s="53" t="s">
        <v>213</v>
      </c>
      <c r="E21" s="55" t="n">
        <v>0</v>
      </c>
    </row>
    <row r="22" customFormat="false" ht="13.5" hidden="false" customHeight="false" outlineLevel="0" collapsed="false">
      <c r="A22" s="53" t="s">
        <v>75</v>
      </c>
      <c r="B22" s="53" t="s">
        <v>76</v>
      </c>
      <c r="C22" s="53" t="s">
        <v>204</v>
      </c>
      <c r="E22" s="55" t="n">
        <v>0</v>
      </c>
    </row>
    <row r="23" customFormat="false" ht="13.5" hidden="false" customHeight="false" outlineLevel="0" collapsed="false">
      <c r="A23" s="53" t="s">
        <v>203</v>
      </c>
      <c r="B23" s="53" t="s">
        <v>58</v>
      </c>
      <c r="C23" s="55" t="s">
        <v>204</v>
      </c>
      <c r="D23" s="59"/>
      <c r="E23" s="57" t="n">
        <v>1</v>
      </c>
    </row>
    <row r="24" customFormat="false" ht="13.5" hidden="false" customHeight="false" outlineLevel="0" collapsed="false">
      <c r="A24" s="53" t="s">
        <v>203</v>
      </c>
      <c r="B24" s="53" t="s">
        <v>58</v>
      </c>
      <c r="C24" s="60" t="s">
        <v>206</v>
      </c>
      <c r="D24" s="61"/>
      <c r="E24" s="62" t="n">
        <v>0</v>
      </c>
    </row>
    <row r="25" customFormat="false" ht="14.25" hidden="false" customHeight="true" outlineLevel="0" collapsed="false">
      <c r="A25" s="53" t="s">
        <v>203</v>
      </c>
      <c r="B25" s="53" t="s">
        <v>58</v>
      </c>
      <c r="C25" s="60" t="s">
        <v>207</v>
      </c>
      <c r="D25" s="61"/>
      <c r="E25" s="63" t="n">
        <v>0</v>
      </c>
    </row>
    <row r="26" customFormat="false" ht="13.5" hidden="false" customHeight="false" outlineLevel="0" collapsed="false">
      <c r="A26" s="53" t="s">
        <v>154</v>
      </c>
      <c r="B26" s="53" t="s">
        <v>159</v>
      </c>
      <c r="C26" s="53" t="s">
        <v>211</v>
      </c>
      <c r="E26" s="57" t="n">
        <v>2</v>
      </c>
    </row>
    <row r="27" customFormat="false" ht="13.5" hidden="false" customHeight="false" outlineLevel="0" collapsed="false">
      <c r="A27" s="53" t="s">
        <v>154</v>
      </c>
      <c r="B27" s="53" t="s">
        <v>159</v>
      </c>
      <c r="C27" s="53" t="s">
        <v>214</v>
      </c>
      <c r="E27" s="55" t="n">
        <v>1</v>
      </c>
    </row>
    <row r="28" customFormat="false" ht="13.5" hidden="false" customHeight="false" outlineLevel="0" collapsed="false">
      <c r="A28" s="53" t="s">
        <v>154</v>
      </c>
      <c r="B28" s="53" t="s">
        <v>159</v>
      </c>
      <c r="C28" s="53" t="s">
        <v>207</v>
      </c>
      <c r="E28" s="55" t="n">
        <v>0</v>
      </c>
    </row>
    <row r="29" customFormat="false" ht="13.5" hidden="false" customHeight="false" outlineLevel="0" collapsed="false">
      <c r="A29" s="64" t="s">
        <v>51</v>
      </c>
      <c r="B29" s="64" t="s">
        <v>52</v>
      </c>
      <c r="C29" s="53" t="s">
        <v>209</v>
      </c>
      <c r="E29" s="57" t="n">
        <v>2</v>
      </c>
    </row>
    <row r="30" customFormat="false" ht="13.5" hidden="false" customHeight="false" outlineLevel="0" collapsed="false">
      <c r="A30" s="64" t="s">
        <v>51</v>
      </c>
      <c r="B30" s="64" t="s">
        <v>52</v>
      </c>
      <c r="C30" s="53" t="s">
        <v>71</v>
      </c>
      <c r="E30" s="55" t="n">
        <v>1</v>
      </c>
    </row>
    <row r="31" customFormat="false" ht="13.5" hidden="false" customHeight="false" outlineLevel="0" collapsed="false">
      <c r="A31" s="64" t="s">
        <v>51</v>
      </c>
      <c r="B31" s="64" t="s">
        <v>52</v>
      </c>
      <c r="C31" s="53" t="s">
        <v>204</v>
      </c>
      <c r="E31" s="55" t="n">
        <v>0</v>
      </c>
    </row>
    <row r="32" customFormat="false" ht="13.5" hidden="false" customHeight="false" outlineLevel="0" collapsed="false">
      <c r="A32" s="60" t="s">
        <v>115</v>
      </c>
      <c r="B32" s="60" t="s">
        <v>116</v>
      </c>
      <c r="C32" s="53" t="s">
        <v>207</v>
      </c>
      <c r="E32" s="57" t="n">
        <v>1</v>
      </c>
    </row>
    <row r="33" customFormat="false" ht="13.5" hidden="false" customHeight="false" outlineLevel="0" collapsed="false">
      <c r="A33" s="60" t="s">
        <v>115</v>
      </c>
      <c r="B33" s="60" t="s">
        <v>116</v>
      </c>
      <c r="C33" s="53" t="s">
        <v>213</v>
      </c>
      <c r="E33" s="55" t="n">
        <v>0</v>
      </c>
    </row>
    <row r="34" customFormat="false" ht="13.5" hidden="false" customHeight="false" outlineLevel="0" collapsed="false">
      <c r="A34" s="60" t="s">
        <v>115</v>
      </c>
      <c r="B34" s="60" t="s">
        <v>116</v>
      </c>
      <c r="C34" s="53" t="s">
        <v>204</v>
      </c>
      <c r="E34" s="55" t="n">
        <v>0</v>
      </c>
    </row>
    <row r="35" customFormat="false" ht="13.5" hidden="false" customHeight="false" outlineLevel="0" collapsed="false">
      <c r="A35" s="60" t="s">
        <v>127</v>
      </c>
      <c r="B35" s="60" t="s">
        <v>128</v>
      </c>
      <c r="C35" s="53" t="s">
        <v>207</v>
      </c>
      <c r="E35" s="57" t="n">
        <v>1</v>
      </c>
      <c r="F35" s="65" t="s">
        <v>267</v>
      </c>
    </row>
    <row r="36" customFormat="false" ht="13.5" hidden="false" customHeight="false" outlineLevel="0" collapsed="false">
      <c r="A36" s="60" t="s">
        <v>127</v>
      </c>
      <c r="B36" s="60" t="s">
        <v>268</v>
      </c>
      <c r="C36" s="53" t="s">
        <v>213</v>
      </c>
      <c r="E36" s="55" t="n">
        <v>0</v>
      </c>
    </row>
    <row r="37" customFormat="false" ht="13.5" hidden="false" customHeight="false" outlineLevel="0" collapsed="false">
      <c r="A37" s="60" t="s">
        <v>127</v>
      </c>
      <c r="B37" s="60" t="s">
        <v>128</v>
      </c>
      <c r="C37" s="53" t="s">
        <v>204</v>
      </c>
      <c r="E37" s="55" t="n">
        <v>0</v>
      </c>
    </row>
    <row r="38" customFormat="false" ht="13.5" hidden="false" customHeight="false" outlineLevel="0" collapsed="false">
      <c r="A38" s="60" t="s">
        <v>125</v>
      </c>
      <c r="B38" s="60" t="s">
        <v>269</v>
      </c>
      <c r="C38" s="53" t="s">
        <v>207</v>
      </c>
      <c r="E38" s="57" t="n">
        <v>1</v>
      </c>
      <c r="F38" s="65" t="s">
        <v>267</v>
      </c>
    </row>
    <row r="39" customFormat="false" ht="13.5" hidden="false" customHeight="false" outlineLevel="0" collapsed="false">
      <c r="A39" s="60" t="s">
        <v>125</v>
      </c>
      <c r="B39" s="60" t="s">
        <v>126</v>
      </c>
      <c r="C39" s="53" t="s">
        <v>213</v>
      </c>
      <c r="E39" s="55" t="n">
        <v>0</v>
      </c>
    </row>
    <row r="40" customFormat="false" ht="13.5" hidden="false" customHeight="false" outlineLevel="0" collapsed="false">
      <c r="A40" s="60" t="s">
        <v>125</v>
      </c>
      <c r="B40" s="60" t="s">
        <v>269</v>
      </c>
      <c r="C40" s="53" t="s">
        <v>204</v>
      </c>
      <c r="E40" s="55" t="n">
        <v>0</v>
      </c>
    </row>
    <row r="41" customFormat="false" ht="13.5" hidden="false" customHeight="false" outlineLevel="0" collapsed="false">
      <c r="A41" s="60" t="s">
        <v>140</v>
      </c>
      <c r="B41" s="60" t="s">
        <v>141</v>
      </c>
      <c r="C41" s="53" t="s">
        <v>209</v>
      </c>
      <c r="E41" s="57" t="n">
        <v>2</v>
      </c>
      <c r="F41" s="66" t="s">
        <v>270</v>
      </c>
    </row>
    <row r="42" customFormat="false" ht="13.5" hidden="false" customHeight="false" outlineLevel="0" collapsed="false">
      <c r="A42" s="60" t="s">
        <v>140</v>
      </c>
      <c r="B42" s="60" t="s">
        <v>141</v>
      </c>
      <c r="C42" s="53" t="s">
        <v>210</v>
      </c>
      <c r="E42" s="55" t="n">
        <v>1</v>
      </c>
      <c r="F42" s="66" t="s">
        <v>270</v>
      </c>
    </row>
    <row r="43" customFormat="false" ht="13.5" hidden="false" customHeight="false" outlineLevel="0" collapsed="false">
      <c r="A43" s="60" t="s">
        <v>140</v>
      </c>
      <c r="B43" s="60" t="s">
        <v>141</v>
      </c>
      <c r="C43" s="53" t="s">
        <v>211</v>
      </c>
      <c r="E43" s="55" t="n">
        <v>0</v>
      </c>
    </row>
    <row r="44" customFormat="false" ht="14.9" hidden="false" customHeight="false" outlineLevel="0" collapsed="false">
      <c r="A44" s="60" t="s">
        <v>42</v>
      </c>
      <c r="B44" s="60" t="s">
        <v>43</v>
      </c>
      <c r="C44" s="60" t="s">
        <v>207</v>
      </c>
      <c r="D44" s="61"/>
      <c r="E44" s="67" t="n">
        <v>2</v>
      </c>
    </row>
    <row r="45" customFormat="false" ht="14.9" hidden="false" customHeight="false" outlineLevel="0" collapsed="false">
      <c r="A45" s="60" t="s">
        <v>42</v>
      </c>
      <c r="B45" s="60" t="s">
        <v>43</v>
      </c>
      <c r="C45" s="60" t="s">
        <v>213</v>
      </c>
      <c r="D45" s="61"/>
      <c r="E45" s="62" t="n">
        <v>0</v>
      </c>
    </row>
    <row r="46" customFormat="false" ht="14.9" hidden="false" customHeight="false" outlineLevel="0" collapsed="false">
      <c r="A46" s="60" t="s">
        <v>42</v>
      </c>
      <c r="B46" s="60" t="s">
        <v>43</v>
      </c>
      <c r="C46" s="60" t="s">
        <v>204</v>
      </c>
      <c r="D46" s="61"/>
      <c r="E46" s="62" t="n">
        <v>0</v>
      </c>
    </row>
    <row r="47" customFormat="false" ht="13.5" hidden="false" customHeight="false" outlineLevel="0" collapsed="false">
      <c r="A47" s="60" t="s">
        <v>135</v>
      </c>
      <c r="B47" s="60" t="s">
        <v>136</v>
      </c>
      <c r="C47" s="60" t="s">
        <v>209</v>
      </c>
      <c r="D47" s="61"/>
      <c r="E47" s="67" t="n">
        <v>2</v>
      </c>
      <c r="F47" s="67" t="s">
        <v>227</v>
      </c>
    </row>
    <row r="48" customFormat="false" ht="13.5" hidden="false" customHeight="false" outlineLevel="0" collapsed="false">
      <c r="A48" s="60" t="s">
        <v>135</v>
      </c>
      <c r="B48" s="60" t="s">
        <v>136</v>
      </c>
      <c r="C48" s="60" t="s">
        <v>71</v>
      </c>
      <c r="D48" s="61"/>
      <c r="E48" s="62" t="n">
        <v>1</v>
      </c>
      <c r="F48" s="67" t="s">
        <v>227</v>
      </c>
    </row>
    <row r="49" customFormat="false" ht="13.5" hidden="false" customHeight="false" outlineLevel="0" collapsed="false">
      <c r="A49" s="60" t="s">
        <v>135</v>
      </c>
      <c r="B49" s="60" t="s">
        <v>136</v>
      </c>
      <c r="C49" s="60" t="s">
        <v>204</v>
      </c>
      <c r="D49" s="61"/>
      <c r="E49" s="62" t="n">
        <v>0</v>
      </c>
      <c r="F49" s="67" t="s">
        <v>227</v>
      </c>
    </row>
    <row r="50" customFormat="false" ht="13.5" hidden="false" customHeight="false" outlineLevel="0" collapsed="false">
      <c r="A50" s="60" t="s">
        <v>117</v>
      </c>
      <c r="B50" s="60" t="s">
        <v>118</v>
      </c>
      <c r="C50" s="53" t="s">
        <v>209</v>
      </c>
      <c r="E50" s="57" t="n">
        <v>1</v>
      </c>
    </row>
    <row r="51" customFormat="false" ht="13.5" hidden="false" customHeight="false" outlineLevel="0" collapsed="false">
      <c r="A51" s="60" t="s">
        <v>117</v>
      </c>
      <c r="B51" s="60" t="s">
        <v>118</v>
      </c>
      <c r="C51" s="53" t="s">
        <v>71</v>
      </c>
      <c r="E51" s="55" t="n">
        <v>0</v>
      </c>
    </row>
    <row r="52" customFormat="false" ht="13.5" hidden="false" customHeight="false" outlineLevel="0" collapsed="false">
      <c r="A52" s="60" t="s">
        <v>117</v>
      </c>
      <c r="B52" s="60" t="s">
        <v>118</v>
      </c>
      <c r="C52" s="53" t="s">
        <v>204</v>
      </c>
      <c r="E52" s="55" t="n">
        <v>0</v>
      </c>
    </row>
    <row r="53" customFormat="false" ht="13.5" hidden="false" customHeight="false" outlineLevel="0" collapsed="false">
      <c r="A53" s="68" t="s">
        <v>154</v>
      </c>
      <c r="B53" s="53" t="s">
        <v>155</v>
      </c>
      <c r="C53" s="68" t="s">
        <v>204</v>
      </c>
      <c r="E53" s="69" t="n">
        <v>5</v>
      </c>
    </row>
    <row r="54" customFormat="false" ht="13.5" hidden="false" customHeight="false" outlineLevel="0" collapsed="false">
      <c r="A54" s="68" t="s">
        <v>154</v>
      </c>
      <c r="B54" s="53" t="s">
        <v>155</v>
      </c>
      <c r="C54" s="53" t="s">
        <v>206</v>
      </c>
      <c r="E54" s="55" t="n">
        <v>3</v>
      </c>
    </row>
    <row r="55" customFormat="false" ht="13.5" hidden="false" customHeight="false" outlineLevel="0" collapsed="false">
      <c r="A55" s="68" t="s">
        <v>154</v>
      </c>
      <c r="B55" s="53" t="s">
        <v>155</v>
      </c>
      <c r="C55" s="53" t="s">
        <v>207</v>
      </c>
      <c r="E55" s="55" t="n">
        <v>0</v>
      </c>
    </row>
    <row r="56" customFormat="false" ht="13.5" hidden="false" customHeight="false" outlineLevel="0" collapsed="false">
      <c r="A56" s="60" t="s">
        <v>160</v>
      </c>
      <c r="B56" s="60" t="s">
        <v>161</v>
      </c>
      <c r="C56" s="53" t="s">
        <v>207</v>
      </c>
      <c r="E56" s="66" t="n">
        <v>-3</v>
      </c>
      <c r="F56" s="70" t="s">
        <v>271</v>
      </c>
    </row>
    <row r="57" customFormat="false" ht="13.5" hidden="false" customHeight="false" outlineLevel="0" collapsed="false">
      <c r="A57" s="60" t="s">
        <v>160</v>
      </c>
      <c r="B57" s="60" t="s">
        <v>161</v>
      </c>
      <c r="C57" s="53" t="s">
        <v>272</v>
      </c>
      <c r="E57" s="66" t="n">
        <v>-2</v>
      </c>
      <c r="F57" s="70" t="s">
        <v>271</v>
      </c>
    </row>
    <row r="58" customFormat="false" ht="13.5" hidden="false" customHeight="false" outlineLevel="0" collapsed="false">
      <c r="A58" s="60" t="s">
        <v>160</v>
      </c>
      <c r="B58" s="60" t="s">
        <v>161</v>
      </c>
      <c r="C58" s="53" t="s">
        <v>209</v>
      </c>
      <c r="E58" s="66" t="n">
        <v>0</v>
      </c>
      <c r="F58" s="70" t="s">
        <v>271</v>
      </c>
    </row>
    <row r="59" customFormat="false" ht="13.5" hidden="false" customHeight="false" outlineLevel="0" collapsed="false">
      <c r="A59" s="60" t="s">
        <v>160</v>
      </c>
      <c r="B59" s="60" t="s">
        <v>273</v>
      </c>
      <c r="C59" s="53" t="s">
        <v>211</v>
      </c>
      <c r="E59" s="66" t="n">
        <v>-2</v>
      </c>
      <c r="F59" s="70" t="s">
        <v>271</v>
      </c>
      <c r="G59" s="53" t="s">
        <v>215</v>
      </c>
    </row>
    <row r="60" customFormat="false" ht="13.5" hidden="false" customHeight="false" outlineLevel="0" collapsed="false">
      <c r="A60" s="60" t="s">
        <v>160</v>
      </c>
      <c r="B60" s="60" t="s">
        <v>163</v>
      </c>
      <c r="C60" s="53" t="s">
        <v>218</v>
      </c>
      <c r="E60" s="66" t="n">
        <v>-1</v>
      </c>
      <c r="F60" s="70" t="s">
        <v>271</v>
      </c>
      <c r="G60" s="53" t="s">
        <v>215</v>
      </c>
    </row>
    <row r="61" customFormat="false" ht="13.5" hidden="false" customHeight="false" outlineLevel="0" collapsed="false">
      <c r="A61" s="60" t="s">
        <v>160</v>
      </c>
      <c r="B61" s="60" t="s">
        <v>163</v>
      </c>
      <c r="C61" s="53" t="s">
        <v>209</v>
      </c>
      <c r="E61" s="66" t="n">
        <v>-1</v>
      </c>
      <c r="F61" s="70" t="s">
        <v>271</v>
      </c>
      <c r="G61" s="53" t="s">
        <v>215</v>
      </c>
    </row>
    <row r="62" customFormat="false" ht="13.5" hidden="false" customHeight="false" outlineLevel="0" collapsed="false">
      <c r="A62" s="60" t="s">
        <v>274</v>
      </c>
      <c r="B62" s="60" t="s">
        <v>24</v>
      </c>
      <c r="C62" s="53" t="s">
        <v>209</v>
      </c>
      <c r="E62" s="55" t="n">
        <v>0</v>
      </c>
      <c r="F62" s="70" t="s">
        <v>275</v>
      </c>
      <c r="G62" s="53" t="s">
        <v>215</v>
      </c>
    </row>
    <row r="63" customFormat="false" ht="13.5" hidden="false" customHeight="false" outlineLevel="0" collapsed="false">
      <c r="A63" s="60" t="s">
        <v>274</v>
      </c>
      <c r="B63" s="53" t="s">
        <v>24</v>
      </c>
      <c r="C63" s="53" t="s">
        <v>276</v>
      </c>
      <c r="E63" s="66" t="n">
        <v>-1</v>
      </c>
      <c r="F63" s="70" t="s">
        <v>275</v>
      </c>
      <c r="G63" s="53" t="s">
        <v>215</v>
      </c>
    </row>
    <row r="64" customFormat="false" ht="13.5" hidden="false" customHeight="false" outlineLevel="0" collapsed="false">
      <c r="A64" s="60" t="s">
        <v>274</v>
      </c>
      <c r="B64" s="53" t="s">
        <v>24</v>
      </c>
      <c r="C64" s="53" t="s">
        <v>207</v>
      </c>
      <c r="E64" s="66" t="n">
        <v>-2</v>
      </c>
      <c r="F64" s="70" t="s">
        <v>275</v>
      </c>
      <c r="G64" s="53" t="s">
        <v>215</v>
      </c>
    </row>
    <row r="65" customFormat="false" ht="13.5" hidden="false" customHeight="false" outlineLevel="0" collapsed="false">
      <c r="A65" s="60" t="s">
        <v>96</v>
      </c>
      <c r="B65" s="53" t="s">
        <v>97</v>
      </c>
      <c r="C65" s="53" t="s">
        <v>204</v>
      </c>
      <c r="E65" s="55" t="n">
        <v>0</v>
      </c>
      <c r="F65" s="70" t="s">
        <v>277</v>
      </c>
      <c r="G65" s="53" t="s">
        <v>215</v>
      </c>
    </row>
    <row r="66" customFormat="false" ht="13.5" hidden="false" customHeight="false" outlineLevel="0" collapsed="false">
      <c r="A66" s="60" t="s">
        <v>96</v>
      </c>
      <c r="B66" s="53" t="s">
        <v>97</v>
      </c>
      <c r="C66" s="53" t="s">
        <v>278</v>
      </c>
      <c r="E66" s="55" t="n">
        <v>0</v>
      </c>
      <c r="F66" s="70" t="s">
        <v>277</v>
      </c>
      <c r="G66" s="53" t="s">
        <v>215</v>
      </c>
    </row>
    <row r="67" customFormat="false" ht="13.5" hidden="false" customHeight="false" outlineLevel="0" collapsed="false">
      <c r="A67" s="60" t="s">
        <v>96</v>
      </c>
      <c r="B67" s="53" t="s">
        <v>97</v>
      </c>
      <c r="C67" s="53" t="s">
        <v>209</v>
      </c>
      <c r="E67" s="55" t="n">
        <v>1</v>
      </c>
      <c r="F67" s="70" t="s">
        <v>277</v>
      </c>
      <c r="G67" s="53" t="s">
        <v>215</v>
      </c>
    </row>
    <row r="68" customFormat="false" ht="13.5" hidden="false" customHeight="false" outlineLevel="0" collapsed="false">
      <c r="A68" s="60"/>
      <c r="E68" s="66"/>
      <c r="F68" s="70"/>
    </row>
    <row r="69" customFormat="false" ht="16.4" hidden="false" customHeight="false" outlineLevel="0" collapsed="false">
      <c r="A69" s="1" t="s">
        <v>279</v>
      </c>
      <c r="B69" s="71"/>
      <c r="C69" s="72"/>
      <c r="D69" s="72"/>
      <c r="E69" s="72"/>
    </row>
    <row r="70" customFormat="false" ht="16.4" hidden="false" customHeight="false" outlineLevel="0" collapsed="false">
      <c r="A70" s="1" t="s">
        <v>280</v>
      </c>
      <c r="C70" s="73"/>
      <c r="D70" s="73"/>
      <c r="E70" s="73"/>
    </row>
    <row r="71" customFormat="false" ht="16.4" hidden="false" customHeight="false" outlineLevel="0" collapsed="false">
      <c r="A71" s="1" t="s">
        <v>281</v>
      </c>
      <c r="C71" s="73"/>
      <c r="D71" s="73"/>
      <c r="E71" s="73"/>
    </row>
    <row r="72" customFormat="false" ht="16.4" hidden="false" customHeight="false" outlineLevel="0" collapsed="false">
      <c r="A72" s="1" t="s">
        <v>282</v>
      </c>
      <c r="C72" s="73"/>
      <c r="D72" s="73"/>
      <c r="E72" s="73"/>
    </row>
    <row r="73" customFormat="false" ht="13.8" hidden="false" customHeight="false" outlineLevel="0" collapsed="false">
      <c r="C73" s="73"/>
      <c r="D73" s="73"/>
      <c r="E73" s="73"/>
      <c r="F73" s="74"/>
    </row>
    <row r="74" customFormat="false" ht="13.5" hidden="false" customHeight="false" outlineLevel="0" collapsed="false">
      <c r="F74" s="74"/>
    </row>
    <row r="79" customFormat="false" ht="13.5" hidden="false" customHeight="false" outlineLevel="0" collapsed="false">
      <c r="B79" s="71"/>
    </row>
    <row r="80" customFormat="false" ht="13.5" hidden="false" customHeight="false" outlineLevel="0" collapsed="false">
      <c r="B80" s="71"/>
    </row>
  </sheetData>
  <conditionalFormatting sqref="B44">
    <cfRule type="duplicateValues" priority="2" aboveAverage="0" equalAverage="0" bottom="0" percent="0" rank="0" text="" dxfId="4"/>
  </conditionalFormatting>
  <conditionalFormatting sqref="B45">
    <cfRule type="duplicateValues" priority="3" aboveAverage="0" equalAverage="0" bottom="0" percent="0" rank="0" text="" dxfId="5"/>
  </conditionalFormatting>
  <conditionalFormatting sqref="B46">
    <cfRule type="duplicateValues" priority="4" aboveAverage="0" equalAverage="0" bottom="0" percent="0" rank="0" text="" dxfId="6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G28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E56" activeCellId="0" sqref="E56"/>
    </sheetView>
  </sheetViews>
  <sheetFormatPr defaultColWidth="16.00390625" defaultRowHeight="15.75" zeroHeight="false" outlineLevelRow="0" outlineLevelCol="0"/>
  <cols>
    <col collapsed="false" customWidth="true" hidden="false" outlineLevel="0" max="1" min="1" style="75" width="29.14"/>
    <col collapsed="false" customWidth="true" hidden="false" outlineLevel="0" max="2" min="2" style="75" width="31.43"/>
    <col collapsed="false" customWidth="true" hidden="false" outlineLevel="0" max="3" min="3" style="75" width="14.43"/>
    <col collapsed="false" customWidth="true" hidden="false" outlineLevel="0" max="4" min="4" style="75" width="17"/>
    <col collapsed="false" customWidth="true" hidden="false" outlineLevel="0" max="5" min="5" style="76" width="48.72"/>
    <col collapsed="false" customWidth="false" hidden="false" outlineLevel="0" max="8" min="6" style="75" width="16"/>
    <col collapsed="false" customWidth="true" hidden="false" outlineLevel="0" max="9" min="9" style="75" width="22.57"/>
    <col collapsed="false" customWidth="false" hidden="false" outlineLevel="0" max="1021" min="10" style="75" width="16"/>
    <col collapsed="false" customWidth="true" hidden="false" outlineLevel="0" max="1023" min="1022" style="76" width="11.57"/>
    <col collapsed="false" customWidth="false" hidden="false" outlineLevel="0" max="16384" min="1024" style="76" width="16"/>
  </cols>
  <sheetData>
    <row r="1" customFormat="false" ht="15.75" hidden="false" customHeight="false" outlineLevel="0" collapsed="false">
      <c r="A1" s="75" t="s">
        <v>0</v>
      </c>
      <c r="B1" s="75" t="s">
        <v>1</v>
      </c>
      <c r="C1" s="75" t="s">
        <v>200</v>
      </c>
      <c r="D1" s="75" t="s">
        <v>2</v>
      </c>
      <c r="E1" s="76" t="s">
        <v>202</v>
      </c>
    </row>
    <row r="2" customFormat="false" ht="15.75" hidden="false" customHeight="false" outlineLevel="0" collapsed="false">
      <c r="A2" s="75" t="s">
        <v>150</v>
      </c>
      <c r="B2" s="75" t="s">
        <v>151</v>
      </c>
      <c r="C2" s="75" t="s">
        <v>211</v>
      </c>
      <c r="D2" s="75" t="n">
        <v>1</v>
      </c>
      <c r="E2" s="76" t="s">
        <v>283</v>
      </c>
    </row>
    <row r="3" customFormat="false" ht="15.75" hidden="false" customHeight="false" outlineLevel="0" collapsed="false">
      <c r="A3" s="77" t="s">
        <v>150</v>
      </c>
      <c r="B3" s="77" t="s">
        <v>151</v>
      </c>
      <c r="C3" s="77" t="s">
        <v>216</v>
      </c>
      <c r="D3" s="77" t="n">
        <v>-1</v>
      </c>
      <c r="E3" s="78" t="s">
        <v>283</v>
      </c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8"/>
      <c r="BF3" s="78"/>
      <c r="BG3" s="78"/>
      <c r="BH3" s="78"/>
      <c r="BI3" s="78"/>
      <c r="BJ3" s="78"/>
      <c r="BK3" s="78"/>
      <c r="BL3" s="78"/>
      <c r="BM3" s="78"/>
      <c r="BN3" s="78"/>
      <c r="BO3" s="78"/>
      <c r="BP3" s="78"/>
      <c r="BQ3" s="78"/>
      <c r="BR3" s="78"/>
      <c r="BS3" s="78"/>
      <c r="BT3" s="78"/>
      <c r="BU3" s="78"/>
      <c r="BV3" s="78"/>
      <c r="BW3" s="78"/>
      <c r="BX3" s="78"/>
      <c r="BY3" s="78"/>
      <c r="BZ3" s="78"/>
      <c r="CA3" s="78"/>
      <c r="CB3" s="78"/>
      <c r="CC3" s="78"/>
      <c r="CD3" s="78"/>
      <c r="CE3" s="78"/>
      <c r="CF3" s="78"/>
      <c r="CG3" s="78"/>
      <c r="CH3" s="78"/>
      <c r="CI3" s="78"/>
      <c r="CJ3" s="78"/>
      <c r="CK3" s="78"/>
      <c r="CL3" s="78"/>
      <c r="CM3" s="78"/>
      <c r="CN3" s="78"/>
      <c r="CO3" s="78"/>
      <c r="CP3" s="78"/>
      <c r="CQ3" s="78"/>
      <c r="CR3" s="78"/>
      <c r="CS3" s="78"/>
      <c r="CT3" s="78"/>
      <c r="CU3" s="78"/>
      <c r="CV3" s="78"/>
      <c r="CW3" s="78"/>
      <c r="CX3" s="78"/>
      <c r="CY3" s="78"/>
      <c r="CZ3" s="78"/>
      <c r="DA3" s="78"/>
      <c r="DB3" s="78"/>
      <c r="DC3" s="78"/>
      <c r="DD3" s="78"/>
      <c r="DE3" s="78"/>
      <c r="DF3" s="78"/>
      <c r="DG3" s="78"/>
      <c r="DH3" s="78"/>
      <c r="DI3" s="78"/>
      <c r="DJ3" s="78"/>
      <c r="DK3" s="78"/>
      <c r="DL3" s="78"/>
      <c r="DM3" s="78"/>
      <c r="DN3" s="78"/>
      <c r="DO3" s="78"/>
      <c r="DP3" s="78"/>
      <c r="DQ3" s="78"/>
      <c r="DR3" s="78"/>
      <c r="DS3" s="78"/>
      <c r="DT3" s="78"/>
      <c r="DU3" s="78"/>
      <c r="DV3" s="78"/>
      <c r="DW3" s="78"/>
      <c r="DX3" s="78"/>
      <c r="DY3" s="78"/>
      <c r="DZ3" s="78"/>
      <c r="EA3" s="78"/>
      <c r="EB3" s="78"/>
      <c r="EC3" s="78"/>
      <c r="ED3" s="78"/>
      <c r="EE3" s="78"/>
      <c r="EF3" s="78"/>
      <c r="EG3" s="78"/>
      <c r="EH3" s="78"/>
      <c r="EI3" s="78"/>
      <c r="EJ3" s="78"/>
      <c r="EK3" s="78"/>
      <c r="EL3" s="78"/>
      <c r="EM3" s="78"/>
      <c r="EN3" s="78"/>
      <c r="EO3" s="78"/>
      <c r="EP3" s="78"/>
      <c r="EQ3" s="78"/>
      <c r="ER3" s="78"/>
      <c r="ES3" s="78"/>
      <c r="ET3" s="78"/>
      <c r="EU3" s="78"/>
      <c r="EV3" s="78"/>
      <c r="EW3" s="78"/>
      <c r="EX3" s="78"/>
      <c r="EY3" s="78"/>
      <c r="EZ3" s="78"/>
      <c r="FA3" s="78"/>
      <c r="FB3" s="78"/>
      <c r="FC3" s="78"/>
      <c r="FD3" s="78"/>
      <c r="FE3" s="78"/>
      <c r="FF3" s="78"/>
      <c r="FG3" s="78"/>
      <c r="FH3" s="78"/>
      <c r="FI3" s="78"/>
      <c r="FJ3" s="78"/>
      <c r="FK3" s="78"/>
      <c r="FL3" s="78"/>
      <c r="FM3" s="78"/>
      <c r="FN3" s="78"/>
      <c r="FO3" s="78"/>
      <c r="FP3" s="78"/>
      <c r="FQ3" s="78"/>
      <c r="FR3" s="78"/>
      <c r="FS3" s="78"/>
      <c r="FT3" s="78"/>
      <c r="FU3" s="78"/>
      <c r="FV3" s="78"/>
      <c r="FW3" s="78"/>
      <c r="FX3" s="78"/>
      <c r="FY3" s="78"/>
      <c r="FZ3" s="78"/>
      <c r="GA3" s="78"/>
      <c r="GB3" s="78"/>
      <c r="GC3" s="78"/>
      <c r="GD3" s="78"/>
      <c r="GE3" s="78"/>
      <c r="GF3" s="78"/>
      <c r="GG3" s="78"/>
      <c r="GH3" s="78"/>
      <c r="GI3" s="78"/>
      <c r="GJ3" s="78"/>
      <c r="GK3" s="78"/>
      <c r="GL3" s="78"/>
      <c r="GM3" s="78"/>
      <c r="GN3" s="78"/>
      <c r="GO3" s="78"/>
      <c r="GP3" s="78"/>
      <c r="GQ3" s="78"/>
      <c r="GR3" s="78"/>
      <c r="GS3" s="78"/>
      <c r="GT3" s="78"/>
      <c r="GU3" s="78"/>
      <c r="GV3" s="78"/>
      <c r="GW3" s="78"/>
      <c r="GX3" s="78"/>
      <c r="GY3" s="78"/>
      <c r="GZ3" s="78"/>
      <c r="HA3" s="78"/>
      <c r="HB3" s="78"/>
      <c r="HC3" s="78"/>
      <c r="HD3" s="78"/>
      <c r="HE3" s="78"/>
      <c r="HF3" s="78"/>
      <c r="HG3" s="78"/>
      <c r="HH3" s="78"/>
      <c r="HI3" s="78"/>
      <c r="HJ3" s="78"/>
      <c r="HK3" s="78"/>
      <c r="HL3" s="78"/>
      <c r="HM3" s="78"/>
      <c r="HN3" s="78"/>
      <c r="HO3" s="78"/>
      <c r="HP3" s="78"/>
      <c r="HQ3" s="78"/>
      <c r="HR3" s="78"/>
      <c r="HS3" s="78"/>
      <c r="HT3" s="78"/>
      <c r="HU3" s="78"/>
      <c r="HV3" s="78"/>
      <c r="HW3" s="78"/>
      <c r="HX3" s="78"/>
      <c r="HY3" s="78"/>
      <c r="HZ3" s="78"/>
      <c r="IA3" s="78"/>
      <c r="IB3" s="78"/>
      <c r="IC3" s="78"/>
      <c r="ID3" s="78"/>
      <c r="IE3" s="78"/>
      <c r="IF3" s="78"/>
      <c r="IG3" s="78"/>
      <c r="IH3" s="78"/>
      <c r="II3" s="78"/>
      <c r="IJ3" s="78"/>
      <c r="IK3" s="78"/>
      <c r="IL3" s="78"/>
      <c r="IM3" s="78"/>
      <c r="IN3" s="78"/>
      <c r="IO3" s="78"/>
      <c r="IP3" s="78"/>
      <c r="IQ3" s="78"/>
      <c r="IR3" s="78"/>
      <c r="IS3" s="78"/>
      <c r="IT3" s="78"/>
      <c r="IU3" s="78"/>
      <c r="IV3" s="78"/>
      <c r="IW3" s="78"/>
      <c r="IX3" s="78"/>
      <c r="IY3" s="78"/>
      <c r="IZ3" s="78"/>
      <c r="JA3" s="78"/>
      <c r="JB3" s="78"/>
      <c r="JC3" s="78"/>
      <c r="JD3" s="78"/>
      <c r="JE3" s="78"/>
      <c r="JF3" s="78"/>
      <c r="JG3" s="78"/>
      <c r="JH3" s="78"/>
      <c r="JI3" s="78"/>
      <c r="JJ3" s="78"/>
      <c r="JK3" s="78"/>
      <c r="JL3" s="78"/>
      <c r="JM3" s="78"/>
      <c r="JN3" s="78"/>
      <c r="JO3" s="78"/>
      <c r="JP3" s="78"/>
      <c r="JQ3" s="78"/>
      <c r="JR3" s="78"/>
      <c r="JS3" s="78"/>
      <c r="JT3" s="78"/>
      <c r="JU3" s="78"/>
      <c r="JV3" s="78"/>
      <c r="JW3" s="78"/>
      <c r="JX3" s="78"/>
      <c r="JY3" s="78"/>
      <c r="JZ3" s="78"/>
      <c r="KA3" s="78"/>
      <c r="KB3" s="78"/>
      <c r="KC3" s="78"/>
      <c r="KD3" s="78"/>
      <c r="KE3" s="78"/>
      <c r="KF3" s="78"/>
      <c r="KG3" s="78"/>
      <c r="KH3" s="78"/>
      <c r="KI3" s="78"/>
      <c r="KJ3" s="78"/>
      <c r="KK3" s="78"/>
      <c r="KL3" s="78"/>
      <c r="KM3" s="78"/>
      <c r="KN3" s="78"/>
      <c r="KO3" s="78"/>
      <c r="KP3" s="78"/>
      <c r="KQ3" s="78"/>
      <c r="KR3" s="78"/>
      <c r="KS3" s="78"/>
      <c r="KT3" s="78"/>
      <c r="KU3" s="78"/>
      <c r="KV3" s="78"/>
      <c r="KW3" s="78"/>
      <c r="KX3" s="78"/>
      <c r="KY3" s="78"/>
      <c r="KZ3" s="78"/>
      <c r="LA3" s="78"/>
      <c r="LB3" s="78"/>
      <c r="LC3" s="78"/>
      <c r="LD3" s="78"/>
      <c r="LE3" s="78"/>
      <c r="LF3" s="78"/>
      <c r="LG3" s="78"/>
      <c r="LH3" s="78"/>
      <c r="LI3" s="78"/>
      <c r="LJ3" s="78"/>
      <c r="LK3" s="78"/>
      <c r="LL3" s="78"/>
      <c r="LM3" s="78"/>
      <c r="LN3" s="78"/>
      <c r="LO3" s="78"/>
      <c r="LP3" s="78"/>
      <c r="LQ3" s="78"/>
      <c r="LR3" s="78"/>
      <c r="LS3" s="78"/>
      <c r="LT3" s="78"/>
      <c r="LU3" s="78"/>
      <c r="LV3" s="78"/>
      <c r="LW3" s="78"/>
      <c r="LX3" s="78"/>
      <c r="LY3" s="78"/>
      <c r="LZ3" s="78"/>
      <c r="MA3" s="78"/>
      <c r="MB3" s="78"/>
      <c r="MC3" s="78"/>
      <c r="MD3" s="78"/>
      <c r="ME3" s="78"/>
      <c r="MF3" s="78"/>
      <c r="MG3" s="78"/>
      <c r="MH3" s="78"/>
      <c r="MI3" s="78"/>
      <c r="MJ3" s="78"/>
      <c r="MK3" s="78"/>
      <c r="ML3" s="78"/>
      <c r="MM3" s="78"/>
      <c r="MN3" s="78"/>
      <c r="MO3" s="78"/>
      <c r="MP3" s="78"/>
      <c r="MQ3" s="78"/>
      <c r="MR3" s="78"/>
      <c r="MS3" s="78"/>
      <c r="MT3" s="78"/>
      <c r="MU3" s="78"/>
      <c r="MV3" s="78"/>
      <c r="MW3" s="78"/>
      <c r="MX3" s="78"/>
      <c r="MY3" s="78"/>
      <c r="MZ3" s="78"/>
      <c r="NA3" s="78"/>
      <c r="NB3" s="78"/>
      <c r="NC3" s="78"/>
      <c r="ND3" s="78"/>
      <c r="NE3" s="78"/>
      <c r="NF3" s="78"/>
      <c r="NG3" s="78"/>
      <c r="NH3" s="78"/>
      <c r="NI3" s="78"/>
      <c r="NJ3" s="78"/>
      <c r="NK3" s="78"/>
      <c r="NL3" s="78"/>
      <c r="NM3" s="78"/>
      <c r="NN3" s="78"/>
      <c r="NO3" s="78"/>
      <c r="NP3" s="78"/>
      <c r="NQ3" s="78"/>
      <c r="NR3" s="78"/>
      <c r="NS3" s="78"/>
      <c r="NT3" s="78"/>
      <c r="NU3" s="78"/>
      <c r="NV3" s="78"/>
      <c r="NW3" s="78"/>
      <c r="NX3" s="78"/>
      <c r="NY3" s="78"/>
      <c r="NZ3" s="78"/>
      <c r="OA3" s="78"/>
      <c r="OB3" s="78"/>
      <c r="OC3" s="78"/>
      <c r="OD3" s="78"/>
      <c r="OE3" s="78"/>
      <c r="OF3" s="78"/>
      <c r="OG3" s="78"/>
      <c r="OH3" s="78"/>
      <c r="OI3" s="78"/>
      <c r="OJ3" s="78"/>
      <c r="OK3" s="78"/>
      <c r="OL3" s="78"/>
      <c r="OM3" s="78"/>
      <c r="ON3" s="78"/>
      <c r="OO3" s="78"/>
      <c r="OP3" s="78"/>
      <c r="OQ3" s="78"/>
      <c r="OR3" s="78"/>
      <c r="OS3" s="78"/>
      <c r="OT3" s="78"/>
      <c r="OU3" s="78"/>
      <c r="OV3" s="78"/>
      <c r="OW3" s="78"/>
      <c r="OX3" s="78"/>
      <c r="OY3" s="78"/>
      <c r="OZ3" s="78"/>
      <c r="PA3" s="78"/>
      <c r="PB3" s="78"/>
      <c r="PC3" s="78"/>
      <c r="PD3" s="78"/>
      <c r="PE3" s="78"/>
      <c r="PF3" s="78"/>
      <c r="PG3" s="78"/>
      <c r="PH3" s="78"/>
      <c r="PI3" s="78"/>
      <c r="PJ3" s="78"/>
      <c r="PK3" s="78"/>
      <c r="PL3" s="78"/>
      <c r="PM3" s="78"/>
      <c r="PN3" s="78"/>
      <c r="PO3" s="78"/>
      <c r="PP3" s="78"/>
      <c r="PQ3" s="78"/>
      <c r="PR3" s="78"/>
      <c r="PS3" s="78"/>
      <c r="PT3" s="78"/>
      <c r="PU3" s="78"/>
      <c r="PV3" s="78"/>
      <c r="PW3" s="78"/>
      <c r="PX3" s="78"/>
      <c r="PY3" s="78"/>
      <c r="PZ3" s="78"/>
      <c r="QA3" s="78"/>
      <c r="QB3" s="78"/>
      <c r="QC3" s="78"/>
      <c r="QD3" s="78"/>
      <c r="QE3" s="78"/>
      <c r="QF3" s="78"/>
      <c r="QG3" s="78"/>
      <c r="QH3" s="78"/>
      <c r="QI3" s="78"/>
      <c r="QJ3" s="78"/>
      <c r="QK3" s="78"/>
      <c r="QL3" s="78"/>
      <c r="QM3" s="78"/>
      <c r="QN3" s="78"/>
      <c r="QO3" s="78"/>
      <c r="QP3" s="78"/>
      <c r="QQ3" s="78"/>
      <c r="QR3" s="78"/>
      <c r="QS3" s="78"/>
      <c r="QT3" s="78"/>
      <c r="QU3" s="78"/>
      <c r="QV3" s="78"/>
      <c r="QW3" s="78"/>
      <c r="QX3" s="78"/>
      <c r="QY3" s="78"/>
      <c r="QZ3" s="78"/>
      <c r="RA3" s="78"/>
      <c r="RB3" s="78"/>
      <c r="RC3" s="78"/>
      <c r="RD3" s="78"/>
      <c r="RE3" s="78"/>
      <c r="RF3" s="78"/>
      <c r="RG3" s="78"/>
      <c r="RH3" s="78"/>
      <c r="RI3" s="78"/>
      <c r="RJ3" s="78"/>
      <c r="RK3" s="78"/>
      <c r="RL3" s="78"/>
      <c r="RM3" s="78"/>
      <c r="RN3" s="78"/>
      <c r="RO3" s="78"/>
      <c r="RP3" s="78"/>
      <c r="RQ3" s="78"/>
      <c r="RR3" s="78"/>
      <c r="RS3" s="78"/>
      <c r="RT3" s="78"/>
      <c r="RU3" s="78"/>
      <c r="RV3" s="78"/>
      <c r="RW3" s="78"/>
      <c r="RX3" s="78"/>
      <c r="RY3" s="78"/>
      <c r="RZ3" s="78"/>
      <c r="SA3" s="78"/>
      <c r="SB3" s="78"/>
      <c r="SC3" s="78"/>
      <c r="SD3" s="78"/>
      <c r="SE3" s="78"/>
      <c r="SF3" s="78"/>
      <c r="SG3" s="78"/>
      <c r="SH3" s="78"/>
      <c r="SI3" s="78"/>
      <c r="SJ3" s="78"/>
      <c r="SK3" s="78"/>
      <c r="SL3" s="78"/>
      <c r="SM3" s="78"/>
      <c r="SN3" s="78"/>
      <c r="SO3" s="78"/>
      <c r="SP3" s="78"/>
      <c r="SQ3" s="78"/>
      <c r="SR3" s="78"/>
      <c r="SS3" s="78"/>
      <c r="ST3" s="78"/>
      <c r="SU3" s="78"/>
      <c r="SV3" s="78"/>
      <c r="SW3" s="78"/>
      <c r="SX3" s="78"/>
      <c r="SY3" s="78"/>
      <c r="SZ3" s="78"/>
      <c r="TA3" s="78"/>
      <c r="TB3" s="78"/>
      <c r="TC3" s="78"/>
      <c r="TD3" s="78"/>
      <c r="TE3" s="78"/>
      <c r="TF3" s="78"/>
      <c r="TG3" s="78"/>
      <c r="TH3" s="78"/>
      <c r="TI3" s="78"/>
      <c r="TJ3" s="78"/>
      <c r="TK3" s="78"/>
      <c r="TL3" s="78"/>
      <c r="TM3" s="78"/>
      <c r="TN3" s="78"/>
      <c r="TO3" s="78"/>
      <c r="TP3" s="78"/>
      <c r="TQ3" s="78"/>
      <c r="TR3" s="78"/>
      <c r="TS3" s="78"/>
      <c r="TT3" s="78"/>
      <c r="TU3" s="78"/>
      <c r="TV3" s="78"/>
      <c r="TW3" s="78"/>
      <c r="TX3" s="78"/>
      <c r="TY3" s="78"/>
      <c r="TZ3" s="78"/>
      <c r="UA3" s="78"/>
      <c r="UB3" s="78"/>
      <c r="UC3" s="78"/>
      <c r="UD3" s="78"/>
      <c r="UE3" s="78"/>
      <c r="UF3" s="78"/>
      <c r="UG3" s="78"/>
      <c r="UH3" s="78"/>
      <c r="UI3" s="78"/>
      <c r="UJ3" s="78"/>
      <c r="UK3" s="78"/>
      <c r="UL3" s="78"/>
      <c r="UM3" s="78"/>
      <c r="UN3" s="78"/>
      <c r="UO3" s="78"/>
      <c r="UP3" s="78"/>
      <c r="UQ3" s="78"/>
      <c r="UR3" s="78"/>
      <c r="US3" s="78"/>
      <c r="UT3" s="78"/>
      <c r="UU3" s="78"/>
      <c r="UV3" s="78"/>
      <c r="UW3" s="78"/>
      <c r="UX3" s="78"/>
      <c r="UY3" s="78"/>
      <c r="UZ3" s="78"/>
      <c r="VA3" s="78"/>
      <c r="VB3" s="78"/>
      <c r="VC3" s="78"/>
      <c r="VD3" s="78"/>
      <c r="VE3" s="78"/>
      <c r="VF3" s="78"/>
      <c r="VG3" s="78"/>
      <c r="VH3" s="78"/>
      <c r="VI3" s="78"/>
      <c r="VJ3" s="78"/>
      <c r="VK3" s="78"/>
      <c r="VL3" s="78"/>
      <c r="VM3" s="78"/>
      <c r="VN3" s="78"/>
      <c r="VO3" s="78"/>
      <c r="VP3" s="78"/>
      <c r="VQ3" s="78"/>
      <c r="VR3" s="78"/>
      <c r="VS3" s="78"/>
      <c r="VT3" s="78"/>
      <c r="VU3" s="78"/>
      <c r="VV3" s="78"/>
      <c r="VW3" s="78"/>
      <c r="VX3" s="78"/>
      <c r="VY3" s="78"/>
      <c r="VZ3" s="78"/>
      <c r="WA3" s="78"/>
      <c r="WB3" s="78"/>
      <c r="WC3" s="78"/>
      <c r="WD3" s="78"/>
      <c r="WE3" s="78"/>
      <c r="WF3" s="78"/>
      <c r="WG3" s="78"/>
      <c r="WH3" s="78"/>
      <c r="WI3" s="78"/>
      <c r="WJ3" s="78"/>
      <c r="WK3" s="78"/>
      <c r="WL3" s="78"/>
      <c r="WM3" s="78"/>
      <c r="WN3" s="78"/>
      <c r="WO3" s="78"/>
      <c r="WP3" s="78"/>
      <c r="WQ3" s="78"/>
      <c r="WR3" s="78"/>
      <c r="WS3" s="78"/>
      <c r="WT3" s="78"/>
      <c r="WU3" s="78"/>
      <c r="WV3" s="78"/>
      <c r="WW3" s="78"/>
      <c r="WX3" s="78"/>
      <c r="WY3" s="78"/>
      <c r="WZ3" s="78"/>
      <c r="XA3" s="78"/>
      <c r="XB3" s="78"/>
      <c r="XC3" s="78"/>
      <c r="XD3" s="78"/>
      <c r="XE3" s="78"/>
      <c r="XF3" s="78"/>
      <c r="XG3" s="78"/>
      <c r="XH3" s="78"/>
      <c r="XI3" s="78"/>
      <c r="XJ3" s="78"/>
      <c r="XK3" s="78"/>
      <c r="XL3" s="78"/>
      <c r="XM3" s="78"/>
      <c r="XN3" s="78"/>
      <c r="XO3" s="78"/>
      <c r="XP3" s="78"/>
      <c r="XQ3" s="78"/>
      <c r="XR3" s="78"/>
      <c r="XS3" s="78"/>
      <c r="XT3" s="78"/>
      <c r="XU3" s="78"/>
      <c r="XV3" s="78"/>
      <c r="XW3" s="78"/>
      <c r="XX3" s="78"/>
      <c r="XY3" s="78"/>
      <c r="XZ3" s="78"/>
      <c r="YA3" s="78"/>
      <c r="YB3" s="78"/>
      <c r="YC3" s="78"/>
      <c r="YD3" s="78"/>
      <c r="YE3" s="78"/>
      <c r="YF3" s="78"/>
      <c r="YG3" s="78"/>
      <c r="YH3" s="78"/>
      <c r="YI3" s="78"/>
      <c r="YJ3" s="78"/>
      <c r="YK3" s="78"/>
      <c r="YL3" s="78"/>
      <c r="YM3" s="78"/>
      <c r="YN3" s="78"/>
      <c r="YO3" s="78"/>
      <c r="YP3" s="78"/>
      <c r="YQ3" s="78"/>
      <c r="YR3" s="78"/>
      <c r="YS3" s="78"/>
      <c r="YT3" s="78"/>
      <c r="YU3" s="78"/>
      <c r="YV3" s="78"/>
      <c r="YW3" s="78"/>
      <c r="YX3" s="78"/>
      <c r="YY3" s="78"/>
      <c r="YZ3" s="78"/>
      <c r="ZA3" s="78"/>
      <c r="ZB3" s="78"/>
      <c r="ZC3" s="78"/>
      <c r="ZD3" s="78"/>
      <c r="ZE3" s="78"/>
      <c r="ZF3" s="78"/>
      <c r="ZG3" s="78"/>
      <c r="ZH3" s="78"/>
      <c r="ZI3" s="78"/>
      <c r="ZJ3" s="78"/>
      <c r="ZK3" s="78"/>
      <c r="ZL3" s="78"/>
      <c r="ZM3" s="78"/>
      <c r="ZN3" s="78"/>
      <c r="ZO3" s="78"/>
      <c r="ZP3" s="78"/>
      <c r="ZQ3" s="78"/>
      <c r="ZR3" s="78"/>
      <c r="ZS3" s="78"/>
      <c r="ZT3" s="78"/>
      <c r="ZU3" s="78"/>
      <c r="ZV3" s="78"/>
      <c r="ZW3" s="78"/>
      <c r="ZX3" s="78"/>
      <c r="ZY3" s="78"/>
      <c r="ZZ3" s="78"/>
      <c r="AAA3" s="78"/>
      <c r="AAB3" s="78"/>
      <c r="AAC3" s="78"/>
      <c r="AAD3" s="78"/>
      <c r="AAE3" s="78"/>
      <c r="AAF3" s="78"/>
      <c r="AAG3" s="78"/>
      <c r="AAH3" s="78"/>
      <c r="AAI3" s="78"/>
      <c r="AAJ3" s="78"/>
      <c r="AAK3" s="78"/>
      <c r="AAL3" s="78"/>
      <c r="AAM3" s="78"/>
      <c r="AAN3" s="78"/>
      <c r="AAO3" s="78"/>
      <c r="AAP3" s="78"/>
      <c r="AAQ3" s="78"/>
      <c r="AAR3" s="78"/>
      <c r="AAS3" s="78"/>
      <c r="AAT3" s="78"/>
      <c r="AAU3" s="78"/>
      <c r="AAV3" s="78"/>
      <c r="AAW3" s="78"/>
      <c r="AAX3" s="78"/>
      <c r="AAY3" s="78"/>
      <c r="AAZ3" s="78"/>
      <c r="ABA3" s="78"/>
      <c r="ABB3" s="78"/>
      <c r="ABC3" s="78"/>
      <c r="ABD3" s="78"/>
      <c r="ABE3" s="78"/>
      <c r="ABF3" s="78"/>
      <c r="ABG3" s="78"/>
      <c r="ABH3" s="78"/>
      <c r="ABI3" s="78"/>
      <c r="ABJ3" s="78"/>
      <c r="ABK3" s="78"/>
      <c r="ABL3" s="78"/>
      <c r="ABM3" s="78"/>
      <c r="ABN3" s="78"/>
      <c r="ABO3" s="78"/>
      <c r="ABP3" s="78"/>
      <c r="ABQ3" s="78"/>
      <c r="ABR3" s="78"/>
      <c r="ABS3" s="78"/>
      <c r="ABT3" s="78"/>
      <c r="ABU3" s="78"/>
      <c r="ABV3" s="78"/>
      <c r="ABW3" s="78"/>
      <c r="ABX3" s="78"/>
      <c r="ABY3" s="78"/>
      <c r="ABZ3" s="78"/>
      <c r="ACA3" s="78"/>
      <c r="ACB3" s="78"/>
      <c r="ACC3" s="78"/>
      <c r="ACD3" s="78"/>
      <c r="ACE3" s="78"/>
      <c r="ACF3" s="78"/>
      <c r="ACG3" s="78"/>
      <c r="ACH3" s="78"/>
      <c r="ACI3" s="78"/>
      <c r="ACJ3" s="78"/>
      <c r="ACK3" s="78"/>
      <c r="ACL3" s="78"/>
      <c r="ACM3" s="78"/>
      <c r="ACN3" s="78"/>
      <c r="ACO3" s="78"/>
      <c r="ACP3" s="78"/>
      <c r="ACQ3" s="78"/>
      <c r="ACR3" s="78"/>
      <c r="ACS3" s="78"/>
      <c r="ACT3" s="78"/>
      <c r="ACU3" s="78"/>
      <c r="ACV3" s="78"/>
      <c r="ACW3" s="78"/>
      <c r="ACX3" s="78"/>
      <c r="ACY3" s="78"/>
      <c r="ACZ3" s="78"/>
      <c r="ADA3" s="78"/>
      <c r="ADB3" s="78"/>
      <c r="ADC3" s="78"/>
      <c r="ADD3" s="78"/>
      <c r="ADE3" s="78"/>
      <c r="ADF3" s="78"/>
      <c r="ADG3" s="78"/>
      <c r="ADH3" s="78"/>
      <c r="ADI3" s="78"/>
      <c r="ADJ3" s="78"/>
      <c r="ADK3" s="78"/>
      <c r="ADL3" s="78"/>
      <c r="ADM3" s="78"/>
      <c r="ADN3" s="78"/>
      <c r="ADO3" s="78"/>
      <c r="ADP3" s="78"/>
      <c r="ADQ3" s="78"/>
      <c r="ADR3" s="78"/>
      <c r="ADS3" s="78"/>
      <c r="ADT3" s="78"/>
      <c r="ADU3" s="78"/>
      <c r="ADV3" s="78"/>
      <c r="ADW3" s="78"/>
      <c r="ADX3" s="78"/>
      <c r="ADY3" s="78"/>
      <c r="ADZ3" s="78"/>
      <c r="AEA3" s="78"/>
      <c r="AEB3" s="78"/>
      <c r="AEC3" s="78"/>
      <c r="AED3" s="78"/>
      <c r="AEE3" s="78"/>
      <c r="AEF3" s="78"/>
      <c r="AEG3" s="78"/>
      <c r="AEH3" s="78"/>
      <c r="AEI3" s="78"/>
      <c r="AEJ3" s="78"/>
      <c r="AEK3" s="78"/>
      <c r="AEL3" s="78"/>
      <c r="AEM3" s="78"/>
      <c r="AEN3" s="78"/>
      <c r="AEO3" s="78"/>
      <c r="AEP3" s="78"/>
      <c r="AEQ3" s="78"/>
      <c r="AER3" s="78"/>
      <c r="AES3" s="78"/>
      <c r="AET3" s="78"/>
      <c r="AEU3" s="78"/>
      <c r="AEV3" s="78"/>
      <c r="AEW3" s="78"/>
      <c r="AEX3" s="78"/>
      <c r="AEY3" s="78"/>
      <c r="AEZ3" s="78"/>
      <c r="AFA3" s="78"/>
      <c r="AFB3" s="78"/>
      <c r="AFC3" s="78"/>
      <c r="AFD3" s="78"/>
      <c r="AFE3" s="78"/>
      <c r="AFF3" s="78"/>
      <c r="AFG3" s="78"/>
      <c r="AFH3" s="78"/>
      <c r="AFI3" s="78"/>
      <c r="AFJ3" s="78"/>
      <c r="AFK3" s="78"/>
      <c r="AFL3" s="78"/>
      <c r="AFM3" s="78"/>
      <c r="AFN3" s="78"/>
      <c r="AFO3" s="78"/>
      <c r="AFP3" s="78"/>
      <c r="AFQ3" s="78"/>
      <c r="AFR3" s="78"/>
      <c r="AFS3" s="78"/>
      <c r="AFT3" s="78"/>
      <c r="AFU3" s="78"/>
      <c r="AFV3" s="78"/>
      <c r="AFW3" s="78"/>
      <c r="AFX3" s="78"/>
      <c r="AFY3" s="78"/>
      <c r="AFZ3" s="78"/>
      <c r="AGA3" s="78"/>
      <c r="AGB3" s="78"/>
      <c r="AGC3" s="78"/>
      <c r="AGD3" s="78"/>
      <c r="AGE3" s="78"/>
      <c r="AGF3" s="78"/>
      <c r="AGG3" s="78"/>
      <c r="AGH3" s="78"/>
      <c r="AGI3" s="78"/>
      <c r="AGJ3" s="78"/>
      <c r="AGK3" s="78"/>
      <c r="AGL3" s="78"/>
      <c r="AGM3" s="78"/>
      <c r="AGN3" s="78"/>
      <c r="AGO3" s="78"/>
      <c r="AGP3" s="78"/>
      <c r="AGQ3" s="78"/>
      <c r="AGR3" s="78"/>
      <c r="AGS3" s="78"/>
      <c r="AGT3" s="78"/>
      <c r="AGU3" s="78"/>
      <c r="AGV3" s="78"/>
      <c r="AGW3" s="78"/>
      <c r="AGX3" s="78"/>
      <c r="AGY3" s="78"/>
      <c r="AGZ3" s="78"/>
      <c r="AHA3" s="78"/>
      <c r="AHB3" s="78"/>
      <c r="AHC3" s="78"/>
      <c r="AHD3" s="78"/>
      <c r="AHE3" s="78"/>
      <c r="AHF3" s="78"/>
      <c r="AHG3" s="78"/>
      <c r="AHH3" s="78"/>
      <c r="AHI3" s="78"/>
      <c r="AHJ3" s="78"/>
      <c r="AHK3" s="78"/>
      <c r="AHL3" s="78"/>
      <c r="AHM3" s="78"/>
      <c r="AHN3" s="78"/>
      <c r="AHO3" s="78"/>
      <c r="AHP3" s="78"/>
      <c r="AHQ3" s="78"/>
      <c r="AHR3" s="78"/>
      <c r="AHS3" s="78"/>
      <c r="AHT3" s="78"/>
      <c r="AHU3" s="78"/>
      <c r="AHV3" s="78"/>
      <c r="AHW3" s="78"/>
      <c r="AHX3" s="78"/>
      <c r="AHY3" s="78"/>
      <c r="AHZ3" s="78"/>
      <c r="AIA3" s="78"/>
      <c r="AIB3" s="78"/>
      <c r="AIC3" s="78"/>
      <c r="AID3" s="78"/>
      <c r="AIE3" s="78"/>
      <c r="AIF3" s="78"/>
      <c r="AIG3" s="78"/>
      <c r="AIH3" s="78"/>
      <c r="AII3" s="78"/>
      <c r="AIJ3" s="78"/>
      <c r="AIK3" s="78"/>
      <c r="AIL3" s="78"/>
      <c r="AIM3" s="78"/>
      <c r="AIN3" s="78"/>
      <c r="AIO3" s="78"/>
      <c r="AIP3" s="78"/>
      <c r="AIQ3" s="78"/>
      <c r="AIR3" s="78"/>
      <c r="AIS3" s="78"/>
      <c r="AIT3" s="78"/>
      <c r="AIU3" s="78"/>
      <c r="AIV3" s="78"/>
      <c r="AIW3" s="78"/>
      <c r="AIX3" s="78"/>
      <c r="AIY3" s="78"/>
      <c r="AIZ3" s="78"/>
      <c r="AJA3" s="78"/>
      <c r="AJB3" s="78"/>
      <c r="AJC3" s="78"/>
      <c r="AJD3" s="78"/>
      <c r="AJE3" s="78"/>
      <c r="AJF3" s="78"/>
      <c r="AJG3" s="78"/>
      <c r="AJH3" s="78"/>
      <c r="AJI3" s="78"/>
      <c r="AJJ3" s="78"/>
      <c r="AJK3" s="78"/>
      <c r="AJL3" s="78"/>
      <c r="AJM3" s="78"/>
      <c r="AJN3" s="78"/>
      <c r="AJO3" s="78"/>
      <c r="AJP3" s="78"/>
      <c r="AJQ3" s="78"/>
      <c r="AJR3" s="78"/>
      <c r="AJS3" s="78"/>
      <c r="AJT3" s="78"/>
      <c r="AJU3" s="78"/>
      <c r="AJV3" s="78"/>
      <c r="AJW3" s="78"/>
      <c r="AJX3" s="78"/>
      <c r="AJY3" s="78"/>
      <c r="AJZ3" s="78"/>
      <c r="AKA3" s="78"/>
      <c r="AKB3" s="78"/>
      <c r="AKC3" s="78"/>
      <c r="AKD3" s="78"/>
      <c r="AKE3" s="78"/>
      <c r="AKF3" s="78"/>
      <c r="AKG3" s="78"/>
      <c r="AKH3" s="78"/>
      <c r="AKI3" s="78"/>
      <c r="AKJ3" s="78"/>
      <c r="AKK3" s="78"/>
      <c r="AKL3" s="78"/>
      <c r="AKM3" s="78"/>
      <c r="AKN3" s="78"/>
      <c r="AKO3" s="78"/>
      <c r="AKP3" s="78"/>
      <c r="AKQ3" s="78"/>
      <c r="AKR3" s="78"/>
      <c r="AKS3" s="78"/>
      <c r="AKT3" s="78"/>
      <c r="AKU3" s="78"/>
      <c r="AKV3" s="78"/>
      <c r="AKW3" s="78"/>
      <c r="AKX3" s="78"/>
      <c r="AKY3" s="78"/>
      <c r="AKZ3" s="78"/>
      <c r="ALA3" s="78"/>
      <c r="ALB3" s="78"/>
      <c r="ALC3" s="78"/>
      <c r="ALD3" s="78"/>
      <c r="ALE3" s="78"/>
      <c r="ALF3" s="78"/>
      <c r="ALG3" s="78"/>
      <c r="ALH3" s="78"/>
      <c r="ALI3" s="78"/>
      <c r="ALJ3" s="78"/>
      <c r="ALK3" s="78"/>
      <c r="ALL3" s="78"/>
      <c r="ALM3" s="78"/>
      <c r="ALN3" s="78"/>
      <c r="ALO3" s="78"/>
      <c r="ALP3" s="78"/>
      <c r="ALQ3" s="78"/>
      <c r="ALR3" s="78"/>
      <c r="ALS3" s="78"/>
      <c r="ALT3" s="78"/>
      <c r="ALU3" s="78"/>
      <c r="ALV3" s="78"/>
      <c r="ALW3" s="78"/>
      <c r="ALX3" s="78"/>
      <c r="ALY3" s="78"/>
      <c r="ALZ3" s="78"/>
      <c r="AMA3" s="78"/>
      <c r="AMB3" s="78"/>
      <c r="AMC3" s="78"/>
      <c r="AMD3" s="78"/>
      <c r="AME3" s="78"/>
      <c r="AMF3" s="78"/>
      <c r="AMG3" s="78"/>
    </row>
    <row r="4" customFormat="false" ht="15.75" hidden="false" customHeight="false" outlineLevel="0" collapsed="false">
      <c r="A4" s="75" t="s">
        <v>150</v>
      </c>
      <c r="B4" s="75" t="s">
        <v>151</v>
      </c>
      <c r="C4" s="75" t="s">
        <v>204</v>
      </c>
      <c r="D4" s="75" t="n">
        <v>-1</v>
      </c>
      <c r="E4" s="76" t="s">
        <v>283</v>
      </c>
    </row>
    <row r="5" customFormat="false" ht="15.75" hidden="false" customHeight="false" outlineLevel="0" collapsed="false">
      <c r="A5" s="75" t="s">
        <v>104</v>
      </c>
      <c r="B5" s="75" t="s">
        <v>105</v>
      </c>
      <c r="C5" s="75" t="s">
        <v>207</v>
      </c>
      <c r="D5" s="75" t="n">
        <v>1</v>
      </c>
      <c r="E5" s="76" t="s">
        <v>284</v>
      </c>
    </row>
    <row r="6" customFormat="false" ht="15.75" hidden="false" customHeight="false" outlineLevel="0" collapsed="false">
      <c r="A6" s="75" t="s">
        <v>104</v>
      </c>
      <c r="B6" s="75" t="s">
        <v>105</v>
      </c>
      <c r="C6" s="75" t="s">
        <v>272</v>
      </c>
      <c r="D6" s="75" t="n">
        <v>0</v>
      </c>
      <c r="E6" s="76" t="s">
        <v>284</v>
      </c>
    </row>
    <row r="7" customFormat="false" ht="15.75" hidden="false" customHeight="false" outlineLevel="0" collapsed="false">
      <c r="A7" s="75" t="s">
        <v>104</v>
      </c>
      <c r="B7" s="75" t="s">
        <v>105</v>
      </c>
      <c r="C7" s="75" t="s">
        <v>209</v>
      </c>
      <c r="D7" s="75" t="n">
        <v>0</v>
      </c>
      <c r="E7" s="76" t="s">
        <v>284</v>
      </c>
    </row>
    <row r="8" customFormat="false" ht="15.75" hidden="false" customHeight="false" outlineLevel="0" collapsed="false">
      <c r="A8" s="75" t="s">
        <v>104</v>
      </c>
      <c r="B8" s="75" t="s">
        <v>106</v>
      </c>
      <c r="C8" s="75" t="s">
        <v>209</v>
      </c>
      <c r="D8" s="75" t="n">
        <v>2</v>
      </c>
      <c r="E8" s="76" t="s">
        <v>284</v>
      </c>
      <c r="F8" s="75" t="s">
        <v>215</v>
      </c>
    </row>
    <row r="9" customFormat="false" ht="15.75" hidden="false" customHeight="false" outlineLevel="0" collapsed="false">
      <c r="A9" s="75" t="s">
        <v>104</v>
      </c>
      <c r="B9" s="75" t="s">
        <v>106</v>
      </c>
      <c r="C9" s="75" t="s">
        <v>71</v>
      </c>
      <c r="D9" s="75" t="n">
        <v>1</v>
      </c>
      <c r="E9" s="76" t="s">
        <v>284</v>
      </c>
      <c r="F9" s="75" t="s">
        <v>215</v>
      </c>
    </row>
    <row r="10" customFormat="false" ht="15.75" hidden="false" customHeight="false" outlineLevel="0" collapsed="false">
      <c r="A10" s="75" t="s">
        <v>104</v>
      </c>
      <c r="B10" s="75" t="s">
        <v>106</v>
      </c>
      <c r="C10" s="75" t="s">
        <v>204</v>
      </c>
      <c r="D10" s="75" t="n">
        <v>0</v>
      </c>
      <c r="E10" s="76" t="s">
        <v>284</v>
      </c>
      <c r="F10" s="75" t="s">
        <v>215</v>
      </c>
    </row>
    <row r="11" customFormat="false" ht="15.75" hidden="false" customHeight="false" outlineLevel="0" collapsed="false">
      <c r="A11" s="75" t="s">
        <v>285</v>
      </c>
      <c r="B11" s="75" t="s">
        <v>49</v>
      </c>
      <c r="C11" s="75" t="s">
        <v>209</v>
      </c>
      <c r="D11" s="75" t="n">
        <v>1</v>
      </c>
      <c r="E11" s="76" t="s">
        <v>286</v>
      </c>
    </row>
    <row r="12" customFormat="false" ht="15.75" hidden="false" customHeight="false" outlineLevel="0" collapsed="false">
      <c r="A12" s="75" t="s">
        <v>285</v>
      </c>
      <c r="B12" s="75" t="s">
        <v>49</v>
      </c>
      <c r="C12" s="75" t="s">
        <v>210</v>
      </c>
      <c r="D12" s="75" t="n">
        <v>0</v>
      </c>
      <c r="E12" s="76" t="s">
        <v>286</v>
      </c>
    </row>
    <row r="13" customFormat="false" ht="15.75" hidden="false" customHeight="false" outlineLevel="0" collapsed="false">
      <c r="A13" s="75" t="s">
        <v>285</v>
      </c>
      <c r="B13" s="75" t="s">
        <v>49</v>
      </c>
      <c r="C13" s="75" t="s">
        <v>211</v>
      </c>
      <c r="D13" s="75" t="n">
        <v>0</v>
      </c>
      <c r="E13" s="76" t="s">
        <v>286</v>
      </c>
    </row>
    <row r="14" customFormat="false" ht="15.75" hidden="false" customHeight="false" outlineLevel="0" collapsed="false">
      <c r="A14" s="75" t="s">
        <v>146</v>
      </c>
      <c r="B14" s="75" t="s">
        <v>147</v>
      </c>
      <c r="C14" s="75" t="s">
        <v>211</v>
      </c>
      <c r="D14" s="75" t="n">
        <v>1</v>
      </c>
      <c r="E14" s="76" t="s">
        <v>287</v>
      </c>
    </row>
    <row r="15" customFormat="false" ht="15.75" hidden="false" customHeight="false" outlineLevel="0" collapsed="false">
      <c r="A15" s="75" t="s">
        <v>146</v>
      </c>
      <c r="B15" s="75" t="s">
        <v>147</v>
      </c>
      <c r="C15" s="75" t="s">
        <v>218</v>
      </c>
      <c r="D15" s="75" t="n">
        <v>0</v>
      </c>
      <c r="E15" s="76" t="s">
        <v>287</v>
      </c>
    </row>
    <row r="16" customFormat="false" ht="15.75" hidden="false" customHeight="false" outlineLevel="0" collapsed="false">
      <c r="A16" s="75" t="s">
        <v>146</v>
      </c>
      <c r="B16" s="75" t="s">
        <v>147</v>
      </c>
      <c r="C16" s="75" t="s">
        <v>209</v>
      </c>
      <c r="D16" s="75" t="n">
        <v>0</v>
      </c>
      <c r="E16" s="76" t="s">
        <v>287</v>
      </c>
    </row>
    <row r="17" customFormat="false" ht="15.75" hidden="false" customHeight="false" outlineLevel="0" collapsed="false">
      <c r="A17" s="6" t="s">
        <v>144</v>
      </c>
      <c r="B17" s="6" t="s">
        <v>145</v>
      </c>
      <c r="C17" s="75" t="s">
        <v>207</v>
      </c>
      <c r="D17" s="75" t="n">
        <v>1</v>
      </c>
      <c r="E17" s="76" t="s">
        <v>288</v>
      </c>
    </row>
    <row r="18" customFormat="false" ht="15.75" hidden="false" customHeight="false" outlineLevel="0" collapsed="false">
      <c r="A18" s="6" t="s">
        <v>289</v>
      </c>
      <c r="B18" s="6" t="s">
        <v>290</v>
      </c>
      <c r="C18" s="75" t="s">
        <v>213</v>
      </c>
      <c r="D18" s="75" t="n">
        <v>0</v>
      </c>
      <c r="E18" s="76" t="s">
        <v>288</v>
      </c>
    </row>
    <row r="19" customFormat="false" ht="15.75" hidden="false" customHeight="false" outlineLevel="0" collapsed="false">
      <c r="A19" s="6" t="s">
        <v>291</v>
      </c>
      <c r="B19" s="6" t="s">
        <v>292</v>
      </c>
      <c r="C19" s="75" t="s">
        <v>204</v>
      </c>
      <c r="D19" s="75" t="n">
        <v>0</v>
      </c>
      <c r="E19" s="76" t="s">
        <v>288</v>
      </c>
    </row>
    <row r="20" customFormat="false" ht="15.75" hidden="false" customHeight="false" outlineLevel="0" collapsed="false">
      <c r="A20" s="79" t="s">
        <v>293</v>
      </c>
      <c r="B20" s="79"/>
    </row>
    <row r="21" customFormat="false" ht="15.75" hidden="false" customHeight="false" outlineLevel="0" collapsed="false">
      <c r="A21" s="80" t="s">
        <v>294</v>
      </c>
      <c r="B21" s="80"/>
    </row>
    <row r="22" customFormat="false" ht="15.75" hidden="false" customHeight="false" outlineLevel="0" collapsed="false">
      <c r="A22" s="80" t="s">
        <v>295</v>
      </c>
      <c r="B22" s="80"/>
    </row>
    <row r="23" customFormat="false" ht="15.75" hidden="false" customHeight="false" outlineLevel="0" collapsed="false">
      <c r="A23" s="80" t="s">
        <v>296</v>
      </c>
      <c r="B23" s="80"/>
    </row>
    <row r="24" customFormat="false" ht="15.75" hidden="false" customHeight="false" outlineLevel="0" collapsed="false">
      <c r="A24" s="80" t="s">
        <v>297</v>
      </c>
      <c r="B24" s="80"/>
    </row>
    <row r="25" customFormat="false" ht="15.75" hidden="false" customHeight="false" outlineLevel="0" collapsed="false">
      <c r="A25" s="80" t="s">
        <v>298</v>
      </c>
      <c r="B25" s="80"/>
    </row>
    <row r="26" customFormat="false" ht="15.75" hidden="false" customHeight="false" outlineLevel="0" collapsed="false">
      <c r="A26" s="76"/>
      <c r="B26" s="76"/>
    </row>
    <row r="27" customFormat="false" ht="15.75" hidden="false" customHeight="false" outlineLevel="0" collapsed="false">
      <c r="A27" s="76"/>
      <c r="B27" s="76"/>
    </row>
    <row r="28" customFormat="false" ht="15.75" hidden="false" customHeight="false" outlineLevel="0" collapsed="false">
      <c r="A28" s="76"/>
      <c r="B28" s="76"/>
    </row>
  </sheetData>
  <autoFilter ref="A1:AMG1">
    <sortState ref="A2:AMG1">
      <sortCondition ref="A2:A1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7"/>
  <sheetViews>
    <sheetView showFormulas="false" showGridLines="true" showRowColHeaders="true" showZeros="true" rightToLeft="false" tabSelected="false" showOutlineSymbols="true" defaultGridColor="true" view="normal" topLeftCell="A7" colorId="64" zoomScale="80" zoomScaleNormal="80" zoomScalePageLayoutView="100" workbookViewId="0">
      <selection pane="topLeft" activeCell="C57" activeCellId="0" sqref="C57"/>
    </sheetView>
  </sheetViews>
  <sheetFormatPr defaultColWidth="9.14453125" defaultRowHeight="15.75" zeroHeight="false" outlineLevelRow="0" outlineLevelCol="0"/>
  <cols>
    <col collapsed="false" customWidth="true" hidden="true" outlineLevel="0" max="1" min="1" style="81" width="17.71"/>
    <col collapsed="false" customWidth="true" hidden="false" outlineLevel="0" max="2" min="2" style="81" width="58.43"/>
    <col collapsed="false" customWidth="true" hidden="false" outlineLevel="0" max="3" min="3" style="81" width="40.14"/>
    <col collapsed="false" customWidth="true" hidden="false" outlineLevel="0" max="4" min="4" style="82" width="26"/>
    <col collapsed="false" customWidth="true" hidden="false" outlineLevel="0" max="5" min="5" style="83" width="12.86"/>
    <col collapsed="false" customWidth="true" hidden="false" outlineLevel="0" max="6" min="6" style="84" width="50.71"/>
    <col collapsed="false" customWidth="true" hidden="false" outlineLevel="0" max="7" min="7" style="82" width="11.57"/>
    <col collapsed="false" customWidth="false" hidden="false" outlineLevel="0" max="8" min="8" style="81" width="9.14"/>
    <col collapsed="false" customWidth="true" hidden="false" outlineLevel="0" max="9" min="9" style="81" width="66.71"/>
    <col collapsed="false" customWidth="false" hidden="false" outlineLevel="0" max="998" min="10" style="81" width="9.14"/>
    <col collapsed="false" customWidth="false" hidden="false" outlineLevel="0" max="16384" min="999" style="84" width="9.14"/>
  </cols>
  <sheetData>
    <row r="1" customFormat="false" ht="15.75" hidden="false" customHeight="false" outlineLevel="0" collapsed="false">
      <c r="A1" s="84" t="s">
        <v>299</v>
      </c>
      <c r="B1" s="81" t="s">
        <v>0</v>
      </c>
      <c r="C1" s="81" t="s">
        <v>1</v>
      </c>
      <c r="D1" s="82" t="s">
        <v>200</v>
      </c>
      <c r="E1" s="83" t="s">
        <v>2</v>
      </c>
      <c r="F1" s="84" t="s">
        <v>202</v>
      </c>
    </row>
    <row r="2" customFormat="false" ht="15.75" hidden="false" customHeight="false" outlineLevel="0" collapsed="false">
      <c r="A2" s="81" t="s">
        <v>300</v>
      </c>
      <c r="B2" s="81" t="s">
        <v>77</v>
      </c>
      <c r="C2" s="81" t="s">
        <v>301</v>
      </c>
      <c r="D2" s="82" t="s">
        <v>302</v>
      </c>
      <c r="E2" s="83" t="n">
        <v>1</v>
      </c>
      <c r="F2" s="84" t="s">
        <v>303</v>
      </c>
    </row>
    <row r="3" customFormat="false" ht="15.75" hidden="false" customHeight="false" outlineLevel="0" collapsed="false">
      <c r="B3" s="81" t="s">
        <v>77</v>
      </c>
      <c r="C3" s="81" t="s">
        <v>301</v>
      </c>
      <c r="D3" s="82" t="s">
        <v>304</v>
      </c>
      <c r="E3" s="83" t="n">
        <v>1</v>
      </c>
      <c r="F3" s="84" t="s">
        <v>305</v>
      </c>
    </row>
    <row r="4" customFormat="false" ht="15.75" hidden="false" customHeight="false" outlineLevel="0" collapsed="false">
      <c r="B4" s="81" t="s">
        <v>77</v>
      </c>
      <c r="C4" s="81" t="s">
        <v>301</v>
      </c>
      <c r="D4" s="82" t="s">
        <v>257</v>
      </c>
      <c r="E4" s="83" t="n">
        <v>1</v>
      </c>
      <c r="F4" s="84" t="s">
        <v>305</v>
      </c>
    </row>
    <row r="5" customFormat="false" ht="15.75" hidden="false" customHeight="false" outlineLevel="0" collapsed="false">
      <c r="B5" s="81" t="s">
        <v>77</v>
      </c>
      <c r="C5" s="81" t="s">
        <v>301</v>
      </c>
      <c r="D5" s="82" t="s">
        <v>306</v>
      </c>
      <c r="E5" s="83" t="n">
        <v>1</v>
      </c>
      <c r="F5" s="84" t="s">
        <v>303</v>
      </c>
    </row>
    <row r="6" customFormat="false" ht="15.75" hidden="false" customHeight="false" outlineLevel="0" collapsed="false">
      <c r="B6" s="81" t="s">
        <v>77</v>
      </c>
      <c r="C6" s="81" t="s">
        <v>301</v>
      </c>
      <c r="D6" s="82" t="s">
        <v>307</v>
      </c>
      <c r="E6" s="83" t="n">
        <v>1</v>
      </c>
      <c r="F6" s="84" t="s">
        <v>303</v>
      </c>
    </row>
    <row r="7" customFormat="false" ht="15.75" hidden="false" customHeight="false" outlineLevel="0" collapsed="false">
      <c r="B7" s="81" t="s">
        <v>77</v>
      </c>
      <c r="C7" s="81" t="s">
        <v>301</v>
      </c>
      <c r="D7" s="82" t="s">
        <v>308</v>
      </c>
      <c r="E7" s="83" t="n">
        <v>0</v>
      </c>
      <c r="F7" s="84" t="s">
        <v>303</v>
      </c>
    </row>
    <row r="8" customFormat="false" ht="15.75" hidden="false" customHeight="false" outlineLevel="0" collapsed="false">
      <c r="B8" s="81" t="s">
        <v>77</v>
      </c>
      <c r="C8" s="81" t="s">
        <v>301</v>
      </c>
      <c r="D8" s="82" t="s">
        <v>309</v>
      </c>
      <c r="E8" s="83" t="n">
        <v>1</v>
      </c>
      <c r="F8" s="84" t="s">
        <v>303</v>
      </c>
    </row>
    <row r="9" customFormat="false" ht="15.75" hidden="false" customHeight="false" outlineLevel="0" collapsed="false">
      <c r="B9" s="81" t="s">
        <v>77</v>
      </c>
      <c r="C9" s="81" t="s">
        <v>301</v>
      </c>
      <c r="D9" s="82" t="s">
        <v>310</v>
      </c>
      <c r="E9" s="83" t="n">
        <v>0</v>
      </c>
      <c r="F9" s="84" t="s">
        <v>303</v>
      </c>
    </row>
    <row r="10" customFormat="false" ht="15" hidden="false" customHeight="true" outlineLevel="0" collapsed="false">
      <c r="B10" s="81" t="s">
        <v>77</v>
      </c>
      <c r="C10" s="81" t="s">
        <v>301</v>
      </c>
      <c r="D10" s="82" t="s">
        <v>311</v>
      </c>
      <c r="E10" s="83" t="n">
        <v>0</v>
      </c>
      <c r="F10" s="84" t="s">
        <v>303</v>
      </c>
    </row>
    <row r="11" customFormat="false" ht="15" hidden="false" customHeight="true" outlineLevel="0" collapsed="false">
      <c r="A11" s="81" t="s">
        <v>312</v>
      </c>
      <c r="B11" s="85" t="s">
        <v>191</v>
      </c>
      <c r="C11" s="85" t="s">
        <v>192</v>
      </c>
      <c r="D11" s="82" t="s">
        <v>211</v>
      </c>
      <c r="E11" s="83" t="n">
        <v>1</v>
      </c>
      <c r="F11" s="84" t="s">
        <v>313</v>
      </c>
    </row>
    <row r="12" customFormat="false" ht="15" hidden="false" customHeight="true" outlineLevel="0" collapsed="false">
      <c r="B12" s="85" t="s">
        <v>191</v>
      </c>
      <c r="C12" s="85" t="s">
        <v>192</v>
      </c>
      <c r="D12" s="82" t="s">
        <v>218</v>
      </c>
      <c r="E12" s="83" t="n">
        <v>0</v>
      </c>
      <c r="F12" s="84" t="s">
        <v>313</v>
      </c>
    </row>
    <row r="13" customFormat="false" ht="15" hidden="false" customHeight="true" outlineLevel="0" collapsed="false">
      <c r="B13" s="85" t="s">
        <v>191</v>
      </c>
      <c r="C13" s="85" t="s">
        <v>192</v>
      </c>
      <c r="D13" s="82" t="s">
        <v>209</v>
      </c>
      <c r="E13" s="83" t="n">
        <v>0</v>
      </c>
      <c r="F13" s="84" t="s">
        <v>313</v>
      </c>
    </row>
    <row r="14" customFormat="false" ht="15" hidden="false" customHeight="true" outlineLevel="0" collapsed="false">
      <c r="A14" s="81" t="s">
        <v>314</v>
      </c>
      <c r="B14" s="85" t="s">
        <v>191</v>
      </c>
      <c r="C14" s="85" t="s">
        <v>193</v>
      </c>
      <c r="D14" s="82" t="s">
        <v>209</v>
      </c>
      <c r="E14" s="83" t="n">
        <v>0</v>
      </c>
      <c r="F14" s="84" t="s">
        <v>313</v>
      </c>
    </row>
    <row r="15" customFormat="false" ht="15" hidden="false" customHeight="true" outlineLevel="0" collapsed="false">
      <c r="B15" s="85" t="s">
        <v>191</v>
      </c>
      <c r="C15" s="85" t="s">
        <v>193</v>
      </c>
      <c r="D15" s="82" t="s">
        <v>210</v>
      </c>
      <c r="E15" s="83" t="n">
        <v>0</v>
      </c>
      <c r="F15" s="84" t="s">
        <v>313</v>
      </c>
    </row>
    <row r="16" customFormat="false" ht="15" hidden="false" customHeight="true" outlineLevel="0" collapsed="false">
      <c r="B16" s="85" t="s">
        <v>191</v>
      </c>
      <c r="C16" s="85" t="s">
        <v>193</v>
      </c>
      <c r="D16" s="82" t="s">
        <v>211</v>
      </c>
      <c r="E16" s="83" t="n">
        <v>1</v>
      </c>
      <c r="F16" s="84" t="s">
        <v>313</v>
      </c>
    </row>
    <row r="17" s="81" customFormat="true" ht="15.75" hidden="false" customHeight="false" outlineLevel="0" collapsed="false">
      <c r="B17" s="81" t="s">
        <v>10</v>
      </c>
      <c r="C17" s="81" t="s">
        <v>254</v>
      </c>
      <c r="D17" s="82" t="s">
        <v>255</v>
      </c>
      <c r="E17" s="86" t="n">
        <v>0</v>
      </c>
      <c r="F17" s="84" t="s">
        <v>315</v>
      </c>
    </row>
    <row r="18" s="81" customFormat="true" ht="15.75" hidden="false" customHeight="false" outlineLevel="0" collapsed="false">
      <c r="B18" s="81" t="s">
        <v>10</v>
      </c>
      <c r="C18" s="81" t="s">
        <v>254</v>
      </c>
      <c r="D18" s="82" t="s">
        <v>256</v>
      </c>
      <c r="E18" s="86" t="n">
        <v>0</v>
      </c>
      <c r="F18" s="84" t="s">
        <v>315</v>
      </c>
      <c r="G18" s="87"/>
      <c r="H18" s="86"/>
    </row>
    <row r="19" s="81" customFormat="true" ht="15.75" hidden="false" customHeight="false" outlineLevel="0" collapsed="false">
      <c r="B19" s="81" t="s">
        <v>10</v>
      </c>
      <c r="C19" s="81" t="s">
        <v>254</v>
      </c>
      <c r="D19" s="82" t="s">
        <v>257</v>
      </c>
      <c r="E19" s="86" t="n">
        <v>0</v>
      </c>
      <c r="F19" s="84" t="s">
        <v>315</v>
      </c>
      <c r="G19" s="87"/>
      <c r="H19" s="86"/>
    </row>
    <row r="20" s="81" customFormat="true" ht="15.75" hidden="false" customHeight="false" outlineLevel="0" collapsed="false">
      <c r="B20" s="81" t="s">
        <v>10</v>
      </c>
      <c r="C20" s="81" t="s">
        <v>254</v>
      </c>
      <c r="D20" s="82" t="s">
        <v>258</v>
      </c>
      <c r="E20" s="88" t="n">
        <v>1</v>
      </c>
      <c r="F20" s="84" t="s">
        <v>315</v>
      </c>
      <c r="G20" s="87"/>
      <c r="H20" s="86"/>
    </row>
    <row r="21" s="81" customFormat="true" ht="15.75" hidden="false" customHeight="false" outlineLevel="0" collapsed="false">
      <c r="B21" s="81" t="s">
        <v>10</v>
      </c>
      <c r="C21" s="81" t="s">
        <v>254</v>
      </c>
      <c r="D21" s="82" t="s">
        <v>261</v>
      </c>
      <c r="E21" s="88" t="n">
        <v>2</v>
      </c>
      <c r="F21" s="84" t="s">
        <v>315</v>
      </c>
      <c r="G21" s="87"/>
      <c r="H21" s="88"/>
    </row>
    <row r="22" s="81" customFormat="true" ht="15.75" hidden="false" customHeight="false" outlineLevel="0" collapsed="false">
      <c r="B22" s="81" t="s">
        <v>10</v>
      </c>
      <c r="C22" s="81" t="s">
        <v>254</v>
      </c>
      <c r="D22" s="82" t="s">
        <v>262</v>
      </c>
      <c r="E22" s="88" t="n">
        <v>2</v>
      </c>
      <c r="F22" s="84" t="s">
        <v>315</v>
      </c>
      <c r="G22" s="87"/>
      <c r="H22" s="88"/>
    </row>
    <row r="23" s="81" customFormat="true" ht="15.75" hidden="false" customHeight="false" outlineLevel="0" collapsed="false">
      <c r="B23" s="81" t="s">
        <v>10</v>
      </c>
      <c r="C23" s="81" t="s">
        <v>254</v>
      </c>
      <c r="D23" s="82" t="s">
        <v>264</v>
      </c>
      <c r="E23" s="88" t="n">
        <v>3</v>
      </c>
      <c r="F23" s="84" t="s">
        <v>315</v>
      </c>
      <c r="G23" s="87"/>
      <c r="H23" s="88"/>
    </row>
    <row r="24" s="81" customFormat="true" ht="15.75" hidden="false" customHeight="false" outlineLevel="0" collapsed="false">
      <c r="B24" s="81" t="s">
        <v>10</v>
      </c>
      <c r="C24" s="81" t="s">
        <v>254</v>
      </c>
      <c r="D24" s="82" t="s">
        <v>265</v>
      </c>
      <c r="E24" s="88" t="n">
        <v>2</v>
      </c>
      <c r="F24" s="84" t="s">
        <v>315</v>
      </c>
      <c r="G24" s="87"/>
      <c r="H24" s="88"/>
    </row>
    <row r="25" s="81" customFormat="true" ht="15.75" hidden="false" customHeight="false" outlineLevel="0" collapsed="false">
      <c r="B25" s="81" t="s">
        <v>10</v>
      </c>
      <c r="C25" s="81" t="s">
        <v>254</v>
      </c>
      <c r="D25" s="82" t="s">
        <v>266</v>
      </c>
      <c r="E25" s="88" t="n">
        <v>2</v>
      </c>
      <c r="F25" s="84" t="s">
        <v>315</v>
      </c>
      <c r="G25" s="87"/>
      <c r="H25" s="88"/>
    </row>
    <row r="26" customFormat="false" ht="15.75" hidden="false" customHeight="false" outlineLevel="0" collapsed="false">
      <c r="B26" s="84" t="s">
        <v>71</v>
      </c>
      <c r="C26" s="84" t="s">
        <v>74</v>
      </c>
      <c r="D26" s="82" t="s">
        <v>204</v>
      </c>
      <c r="E26" s="89" t="n">
        <v>1</v>
      </c>
      <c r="F26" s="81" t="s">
        <v>316</v>
      </c>
    </row>
    <row r="27" customFormat="false" ht="15.75" hidden="false" customHeight="false" outlineLevel="0" collapsed="false">
      <c r="B27" s="84" t="s">
        <v>71</v>
      </c>
      <c r="C27" s="84" t="s">
        <v>74</v>
      </c>
      <c r="D27" s="82" t="s">
        <v>206</v>
      </c>
      <c r="E27" s="89" t="n">
        <v>0</v>
      </c>
      <c r="F27" s="81" t="s">
        <v>316</v>
      </c>
    </row>
    <row r="28" customFormat="false" ht="15.75" hidden="false" customHeight="false" outlineLevel="0" collapsed="false">
      <c r="B28" s="84" t="s">
        <v>71</v>
      </c>
      <c r="C28" s="84" t="s">
        <v>74</v>
      </c>
      <c r="D28" s="82" t="s">
        <v>207</v>
      </c>
      <c r="E28" s="89" t="n">
        <v>0</v>
      </c>
      <c r="F28" s="81" t="s">
        <v>316</v>
      </c>
    </row>
    <row r="29" customFormat="false" ht="15" hidden="false" customHeight="true" outlineLevel="0" collapsed="false">
      <c r="B29" s="84" t="s">
        <v>71</v>
      </c>
      <c r="C29" s="90" t="s">
        <v>317</v>
      </c>
      <c r="D29" s="82" t="s">
        <v>318</v>
      </c>
      <c r="E29" s="91" t="n">
        <v>2</v>
      </c>
      <c r="F29" s="81" t="s">
        <v>316</v>
      </c>
      <c r="K29" s="90"/>
      <c r="L29" s="90"/>
    </row>
    <row r="30" customFormat="false" ht="15.75" hidden="false" customHeight="false" outlineLevel="0" collapsed="false">
      <c r="B30" s="84" t="s">
        <v>71</v>
      </c>
      <c r="C30" s="90" t="s">
        <v>317</v>
      </c>
      <c r="D30" s="82" t="s">
        <v>319</v>
      </c>
      <c r="E30" s="91" t="n">
        <v>2</v>
      </c>
      <c r="F30" s="81" t="s">
        <v>316</v>
      </c>
      <c r="K30" s="90"/>
      <c r="L30" s="90"/>
    </row>
    <row r="31" customFormat="false" ht="15.75" hidden="false" customHeight="false" outlineLevel="0" collapsed="false">
      <c r="B31" s="84" t="s">
        <v>71</v>
      </c>
      <c r="C31" s="90" t="s">
        <v>317</v>
      </c>
      <c r="D31" s="82" t="s">
        <v>309</v>
      </c>
      <c r="E31" s="91" t="n">
        <v>1</v>
      </c>
      <c r="F31" s="81" t="s">
        <v>316</v>
      </c>
      <c r="K31" s="90"/>
      <c r="L31" s="90"/>
    </row>
    <row r="32" customFormat="false" ht="15.75" hidden="false" customHeight="false" outlineLevel="0" collapsed="false">
      <c r="B32" s="84" t="s">
        <v>71</v>
      </c>
      <c r="C32" s="90" t="s">
        <v>317</v>
      </c>
      <c r="D32" s="82" t="s">
        <v>320</v>
      </c>
      <c r="E32" s="91" t="n">
        <v>0</v>
      </c>
      <c r="F32" s="81" t="s">
        <v>316</v>
      </c>
      <c r="K32" s="90"/>
      <c r="L32" s="90"/>
    </row>
    <row r="33" customFormat="false" ht="15.75" hidden="false" customHeight="false" outlineLevel="0" collapsed="false">
      <c r="B33" s="84" t="s">
        <v>71</v>
      </c>
      <c r="C33" s="90" t="s">
        <v>317</v>
      </c>
      <c r="D33" s="82" t="s">
        <v>321</v>
      </c>
      <c r="E33" s="91" t="n">
        <v>2</v>
      </c>
      <c r="F33" s="81" t="s">
        <v>316</v>
      </c>
      <c r="K33" s="90"/>
      <c r="L33" s="90"/>
    </row>
    <row r="34" customFormat="false" ht="15.75" hidden="false" customHeight="false" outlineLevel="0" collapsed="false">
      <c r="B34" s="84" t="s">
        <v>71</v>
      </c>
      <c r="C34" s="90" t="s">
        <v>317</v>
      </c>
      <c r="D34" s="82" t="s">
        <v>322</v>
      </c>
      <c r="E34" s="83" t="n">
        <v>0</v>
      </c>
      <c r="F34" s="81" t="s">
        <v>316</v>
      </c>
      <c r="K34" s="90"/>
      <c r="L34" s="90"/>
    </row>
    <row r="35" customFormat="false" ht="15.75" hidden="false" customHeight="false" outlineLevel="0" collapsed="false">
      <c r="B35" s="84" t="s">
        <v>71</v>
      </c>
      <c r="C35" s="90" t="s">
        <v>317</v>
      </c>
      <c r="D35" s="82" t="s">
        <v>323</v>
      </c>
      <c r="E35" s="83" t="n">
        <v>0</v>
      </c>
      <c r="F35" s="81" t="s">
        <v>316</v>
      </c>
      <c r="K35" s="90"/>
      <c r="L35" s="90"/>
    </row>
    <row r="36" customFormat="false" ht="15.75" hidden="false" customHeight="false" outlineLevel="0" collapsed="false">
      <c r="B36" s="84" t="s">
        <v>71</v>
      </c>
      <c r="C36" s="90" t="s">
        <v>317</v>
      </c>
      <c r="D36" s="82" t="s">
        <v>324</v>
      </c>
      <c r="E36" s="83" t="n">
        <v>0</v>
      </c>
      <c r="F36" s="81" t="s">
        <v>316</v>
      </c>
      <c r="I36" s="90"/>
      <c r="K36" s="90"/>
      <c r="L36" s="90"/>
    </row>
    <row r="37" customFormat="false" ht="15.75" hidden="false" customHeight="false" outlineLevel="0" collapsed="false">
      <c r="B37" s="84" t="s">
        <v>71</v>
      </c>
      <c r="C37" s="90" t="s">
        <v>317</v>
      </c>
      <c r="D37" s="82" t="s">
        <v>252</v>
      </c>
      <c r="E37" s="83" t="n">
        <v>0</v>
      </c>
      <c r="F37" s="81" t="s">
        <v>316</v>
      </c>
      <c r="K37" s="90"/>
      <c r="L37" s="90"/>
    </row>
    <row r="38" customFormat="false" ht="15.75" hidden="false" customHeight="false" outlineLevel="0" collapsed="false">
      <c r="A38" s="81" t="s">
        <v>119</v>
      </c>
      <c r="B38" s="84" t="s">
        <v>119</v>
      </c>
      <c r="C38" s="84" t="s">
        <v>120</v>
      </c>
      <c r="D38" s="92" t="s">
        <v>211</v>
      </c>
      <c r="E38" s="93" t="n">
        <v>-1</v>
      </c>
      <c r="F38" s="81" t="s">
        <v>316</v>
      </c>
    </row>
    <row r="39" customFormat="false" ht="15.75" hidden="false" customHeight="false" outlineLevel="0" collapsed="false">
      <c r="B39" s="84" t="s">
        <v>119</v>
      </c>
      <c r="C39" s="84" t="s">
        <v>120</v>
      </c>
      <c r="D39" s="92" t="s">
        <v>218</v>
      </c>
      <c r="E39" s="94" t="n">
        <v>0</v>
      </c>
      <c r="F39" s="81" t="s">
        <v>316</v>
      </c>
    </row>
    <row r="40" customFormat="false" ht="15.75" hidden="false" customHeight="false" outlineLevel="0" collapsed="false">
      <c r="B40" s="84" t="s">
        <v>119</v>
      </c>
      <c r="C40" s="84" t="s">
        <v>120</v>
      </c>
      <c r="D40" s="92" t="s">
        <v>209</v>
      </c>
      <c r="E40" s="94" t="n">
        <v>1</v>
      </c>
      <c r="F40" s="81" t="s">
        <v>316</v>
      </c>
    </row>
    <row r="41" customFormat="false" ht="15.75" hidden="false" customHeight="false" outlineLevel="0" collapsed="false">
      <c r="B41" s="84" t="s">
        <v>180</v>
      </c>
      <c r="C41" s="84" t="s">
        <v>181</v>
      </c>
      <c r="D41" s="82" t="s">
        <v>209</v>
      </c>
      <c r="E41" s="89" t="n">
        <v>1</v>
      </c>
      <c r="F41" s="81" t="s">
        <v>325</v>
      </c>
    </row>
    <row r="42" s="84" customFormat="true" ht="15.75" hidden="false" customHeight="true" outlineLevel="0" collapsed="false">
      <c r="B42" s="84" t="s">
        <v>180</v>
      </c>
      <c r="C42" s="84" t="s">
        <v>181</v>
      </c>
      <c r="D42" s="82" t="s">
        <v>210</v>
      </c>
      <c r="E42" s="89" t="n">
        <v>0</v>
      </c>
      <c r="F42" s="81" t="s">
        <v>325</v>
      </c>
    </row>
    <row r="43" s="84" customFormat="true" ht="15.75" hidden="false" customHeight="true" outlineLevel="0" collapsed="false">
      <c r="B43" s="84" t="s">
        <v>180</v>
      </c>
      <c r="C43" s="84" t="s">
        <v>181</v>
      </c>
      <c r="D43" s="82" t="s">
        <v>211</v>
      </c>
      <c r="E43" s="95" t="n">
        <v>-1</v>
      </c>
      <c r="F43" s="81" t="s">
        <v>325</v>
      </c>
    </row>
    <row r="44" customFormat="false" ht="15.75" hidden="false" customHeight="false" outlineLevel="0" collapsed="false">
      <c r="B44" s="81" t="s">
        <v>148</v>
      </c>
      <c r="C44" s="81" t="s">
        <v>149</v>
      </c>
      <c r="D44" s="82" t="s">
        <v>204</v>
      </c>
      <c r="E44" s="83" t="n">
        <v>0</v>
      </c>
      <c r="F44" s="84" t="s">
        <v>315</v>
      </c>
    </row>
    <row r="45" customFormat="false" ht="15.75" hidden="false" customHeight="false" outlineLevel="0" collapsed="false">
      <c r="B45" s="81" t="s">
        <v>148</v>
      </c>
      <c r="C45" s="81" t="s">
        <v>149</v>
      </c>
      <c r="D45" s="82" t="s">
        <v>206</v>
      </c>
      <c r="E45" s="83" t="n">
        <v>1</v>
      </c>
      <c r="F45" s="84" t="s">
        <v>315</v>
      </c>
    </row>
    <row r="46" customFormat="false" ht="15.75" hidden="false" customHeight="false" outlineLevel="0" collapsed="false">
      <c r="B46" s="81" t="s">
        <v>148</v>
      </c>
      <c r="C46" s="81" t="s">
        <v>149</v>
      </c>
      <c r="D46" s="82" t="s">
        <v>207</v>
      </c>
      <c r="E46" s="83" t="n">
        <v>2</v>
      </c>
      <c r="F46" s="84" t="s">
        <v>315</v>
      </c>
    </row>
    <row r="47" customFormat="false" ht="15.75" hidden="false" customHeight="false" outlineLevel="0" collapsed="false">
      <c r="B47" s="1" t="s">
        <v>166</v>
      </c>
      <c r="C47" s="1" t="s">
        <v>168</v>
      </c>
      <c r="D47" s="82" t="s">
        <v>204</v>
      </c>
      <c r="E47" s="83" t="n">
        <v>0</v>
      </c>
      <c r="F47" s="84" t="s">
        <v>326</v>
      </c>
    </row>
    <row r="48" customFormat="false" ht="15.75" hidden="false" customHeight="false" outlineLevel="0" collapsed="false">
      <c r="B48" s="1" t="s">
        <v>166</v>
      </c>
      <c r="C48" s="1" t="s">
        <v>168</v>
      </c>
      <c r="D48" s="82" t="s">
        <v>206</v>
      </c>
      <c r="E48" s="83" t="n">
        <v>1</v>
      </c>
      <c r="F48" s="84" t="s">
        <v>326</v>
      </c>
    </row>
    <row r="49" customFormat="false" ht="15.75" hidden="false" customHeight="false" outlineLevel="0" collapsed="false">
      <c r="B49" s="1" t="s">
        <v>166</v>
      </c>
      <c r="C49" s="1" t="s">
        <v>168</v>
      </c>
      <c r="D49" s="82" t="s">
        <v>207</v>
      </c>
      <c r="E49" s="83" t="n">
        <v>1</v>
      </c>
      <c r="F49" s="84" t="s">
        <v>326</v>
      </c>
    </row>
    <row r="50" customFormat="false" ht="16.5" hidden="false" customHeight="true" outlineLevel="0" collapsed="false">
      <c r="B50" s="1" t="s">
        <v>166</v>
      </c>
      <c r="C50" s="81" t="s">
        <v>167</v>
      </c>
      <c r="D50" s="82" t="s">
        <v>211</v>
      </c>
      <c r="E50" s="83" t="n">
        <v>0</v>
      </c>
      <c r="F50" s="84" t="s">
        <v>326</v>
      </c>
    </row>
    <row r="51" customFormat="false" ht="15.75" hidden="false" customHeight="false" outlineLevel="0" collapsed="false">
      <c r="B51" s="1" t="s">
        <v>166</v>
      </c>
      <c r="C51" s="81" t="s">
        <v>167</v>
      </c>
      <c r="D51" s="82" t="s">
        <v>214</v>
      </c>
      <c r="E51" s="83" t="n">
        <v>1</v>
      </c>
      <c r="F51" s="84" t="s">
        <v>326</v>
      </c>
    </row>
    <row r="52" customFormat="false" ht="15.75" hidden="false" customHeight="false" outlineLevel="0" collapsed="false">
      <c r="B52" s="1" t="s">
        <v>166</v>
      </c>
      <c r="C52" s="81" t="s">
        <v>167</v>
      </c>
      <c r="D52" s="82" t="s">
        <v>207</v>
      </c>
      <c r="E52" s="83" t="n">
        <v>1</v>
      </c>
      <c r="F52" s="84" t="s">
        <v>326</v>
      </c>
    </row>
    <row r="53" customFormat="false" ht="15.75" hidden="false" customHeight="false" outlineLevel="0" collapsed="false">
      <c r="B53" s="92" t="s">
        <v>327</v>
      </c>
      <c r="C53" s="81" t="s">
        <v>328</v>
      </c>
    </row>
    <row r="54" customFormat="false" ht="15.75" hidden="false" customHeight="false" outlineLevel="0" collapsed="false">
      <c r="B54" s="84" t="s">
        <v>329</v>
      </c>
      <c r="C54" s="84" t="s">
        <v>330</v>
      </c>
    </row>
    <row r="55" customFormat="false" ht="15.75" hidden="false" customHeight="false" outlineLevel="0" collapsed="false">
      <c r="B55" s="81" t="s">
        <v>331</v>
      </c>
      <c r="C55" s="84" t="s">
        <v>332</v>
      </c>
    </row>
    <row r="56" customFormat="false" ht="15.75" hidden="false" customHeight="false" outlineLevel="0" collapsed="false">
      <c r="B56" s="81" t="s">
        <v>333</v>
      </c>
      <c r="C56" s="84" t="s">
        <v>334</v>
      </c>
    </row>
    <row r="57" customFormat="false" ht="15.75" hidden="false" customHeight="false" outlineLevel="0" collapsed="false">
      <c r="B57" s="81" t="s">
        <v>335</v>
      </c>
      <c r="C57" s="84" t="s">
        <v>336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F69" activeCellId="0" sqref="F69"/>
    </sheetView>
  </sheetViews>
  <sheetFormatPr defaultColWidth="22.4296875" defaultRowHeight="15.75" zeroHeight="false" outlineLevelRow="0" outlineLevelCol="0"/>
  <cols>
    <col collapsed="false" customWidth="true" hidden="false" outlineLevel="0" max="1" min="1" style="81" width="64.72"/>
    <col collapsed="false" customWidth="true" hidden="false" outlineLevel="0" max="2" min="2" style="82" width="40"/>
    <col collapsed="false" customWidth="false" hidden="false" outlineLevel="0" max="3" min="3" style="81" width="22.43"/>
    <col collapsed="false" customWidth="true" hidden="false" outlineLevel="0" max="4" min="4" style="81" width="17"/>
    <col collapsed="false" customWidth="true" hidden="false" outlineLevel="0" max="5" min="5" style="96" width="17"/>
    <col collapsed="false" customWidth="true" hidden="false" outlineLevel="0" max="6" min="6" style="82" width="123.28"/>
    <col collapsed="false" customWidth="true" hidden="false" outlineLevel="0" max="7" min="7" style="81" width="31.72"/>
    <col collapsed="false" customWidth="true" hidden="false" outlineLevel="0" max="8" min="8" style="81" width="38.57"/>
    <col collapsed="false" customWidth="false" hidden="false" outlineLevel="0" max="1021" min="9" style="81" width="22.43"/>
    <col collapsed="false" customWidth="false" hidden="false" outlineLevel="0" max="16384" min="1022" style="97" width="22.43"/>
  </cols>
  <sheetData>
    <row r="1" customFormat="false" ht="20.25" hidden="false" customHeight="true" outlineLevel="0" collapsed="false">
      <c r="A1" s="81" t="s">
        <v>0</v>
      </c>
      <c r="B1" s="82" t="s">
        <v>1</v>
      </c>
      <c r="C1" s="81" t="s">
        <v>200</v>
      </c>
      <c r="D1" s="81" t="s">
        <v>201</v>
      </c>
      <c r="E1" s="96" t="s">
        <v>2</v>
      </c>
      <c r="F1" s="82" t="s">
        <v>202</v>
      </c>
    </row>
    <row r="2" s="98" customFormat="true" ht="20.25" hidden="false" customHeight="true" outlineLevel="0" collapsed="false">
      <c r="A2" s="98" t="s">
        <v>169</v>
      </c>
      <c r="B2" s="99" t="s">
        <v>170</v>
      </c>
      <c r="C2" s="100" t="s">
        <v>211</v>
      </c>
      <c r="D2" s="100"/>
      <c r="E2" s="100" t="n">
        <v>1</v>
      </c>
      <c r="F2" s="99" t="s">
        <v>337</v>
      </c>
    </row>
    <row r="3" s="98" customFormat="true" ht="20.25" hidden="false" customHeight="true" outlineLevel="0" collapsed="false">
      <c r="A3" s="98" t="s">
        <v>169</v>
      </c>
      <c r="B3" s="99" t="s">
        <v>170</v>
      </c>
      <c r="C3" s="100" t="s">
        <v>204</v>
      </c>
      <c r="D3" s="100"/>
      <c r="E3" s="100" t="n">
        <v>0</v>
      </c>
      <c r="F3" s="99" t="s">
        <v>337</v>
      </c>
    </row>
    <row r="4" s="98" customFormat="true" ht="20.25" hidden="false" customHeight="true" outlineLevel="0" collapsed="false">
      <c r="A4" s="98" t="s">
        <v>169</v>
      </c>
      <c r="B4" s="99" t="s">
        <v>170</v>
      </c>
      <c r="C4" s="100" t="s">
        <v>216</v>
      </c>
      <c r="D4" s="100"/>
      <c r="E4" s="100" t="n">
        <v>0</v>
      </c>
      <c r="F4" s="99" t="s">
        <v>337</v>
      </c>
    </row>
    <row r="5" s="81" customFormat="true" ht="20.25" hidden="false" customHeight="true" outlineLevel="0" collapsed="false">
      <c r="A5" s="81" t="s">
        <v>113</v>
      </c>
      <c r="B5" s="82" t="s">
        <v>114</v>
      </c>
      <c r="C5" s="96" t="s">
        <v>207</v>
      </c>
      <c r="D5" s="96"/>
      <c r="E5" s="96" t="n">
        <v>4</v>
      </c>
      <c r="F5" s="92" t="s">
        <v>338</v>
      </c>
    </row>
    <row r="6" s="81" customFormat="true" ht="20.25" hidden="false" customHeight="true" outlineLevel="0" collapsed="false">
      <c r="A6" s="81" t="s">
        <v>113</v>
      </c>
      <c r="B6" s="82" t="s">
        <v>114</v>
      </c>
      <c r="C6" s="96" t="s">
        <v>213</v>
      </c>
      <c r="D6" s="96"/>
      <c r="E6" s="96" t="n">
        <v>2</v>
      </c>
      <c r="F6" s="92" t="s">
        <v>338</v>
      </c>
    </row>
    <row r="7" s="81" customFormat="true" ht="20.25" hidden="false" customHeight="true" outlineLevel="0" collapsed="false">
      <c r="A7" s="81" t="s">
        <v>113</v>
      </c>
      <c r="B7" s="82" t="s">
        <v>114</v>
      </c>
      <c r="C7" s="96" t="s">
        <v>204</v>
      </c>
      <c r="D7" s="96"/>
      <c r="E7" s="96" t="n">
        <v>0</v>
      </c>
      <c r="F7" s="92" t="s">
        <v>338</v>
      </c>
    </row>
    <row r="8" s="81" customFormat="true" ht="20.25" hidden="false" customHeight="true" outlineLevel="0" collapsed="false">
      <c r="A8" s="81" t="s">
        <v>339</v>
      </c>
      <c r="B8" s="82" t="s">
        <v>340</v>
      </c>
      <c r="C8" s="101" t="s">
        <v>341</v>
      </c>
      <c r="D8" s="101"/>
      <c r="E8" s="101" t="n">
        <v>3</v>
      </c>
      <c r="F8" s="92" t="s">
        <v>342</v>
      </c>
    </row>
    <row r="9" s="81" customFormat="true" ht="20.25" hidden="false" customHeight="true" outlineLevel="0" collapsed="false">
      <c r="A9" s="81" t="s">
        <v>339</v>
      </c>
      <c r="B9" s="82" t="s">
        <v>340</v>
      </c>
      <c r="C9" s="101" t="s">
        <v>343</v>
      </c>
      <c r="D9" s="101"/>
      <c r="E9" s="101" t="n">
        <v>3</v>
      </c>
      <c r="F9" s="92" t="s">
        <v>342</v>
      </c>
    </row>
    <row r="10" s="81" customFormat="true" ht="20.25" hidden="false" customHeight="true" outlineLevel="0" collapsed="false">
      <c r="A10" s="81" t="s">
        <v>339</v>
      </c>
      <c r="B10" s="82" t="s">
        <v>340</v>
      </c>
      <c r="C10" s="101" t="s">
        <v>344</v>
      </c>
      <c r="D10" s="101"/>
      <c r="E10" s="101" t="s">
        <v>345</v>
      </c>
      <c r="F10" s="92" t="s">
        <v>342</v>
      </c>
    </row>
    <row r="11" s="81" customFormat="true" ht="20.25" hidden="false" customHeight="true" outlineLevel="0" collapsed="false">
      <c r="A11" s="81" t="s">
        <v>339</v>
      </c>
      <c r="B11" s="82" t="s">
        <v>340</v>
      </c>
      <c r="C11" s="101" t="s">
        <v>346</v>
      </c>
      <c r="D11" s="101"/>
      <c r="E11" s="101" t="n">
        <v>3</v>
      </c>
      <c r="F11" s="92" t="s">
        <v>342</v>
      </c>
    </row>
    <row r="12" s="81" customFormat="true" ht="20.25" hidden="false" customHeight="true" outlineLevel="0" collapsed="false">
      <c r="A12" s="81" t="s">
        <v>339</v>
      </c>
      <c r="B12" s="82" t="s">
        <v>340</v>
      </c>
      <c r="C12" s="101" t="s">
        <v>347</v>
      </c>
      <c r="D12" s="101"/>
      <c r="E12" s="101" t="n">
        <v>3</v>
      </c>
      <c r="F12" s="92" t="s">
        <v>342</v>
      </c>
    </row>
    <row r="13" s="81" customFormat="true" ht="20.25" hidden="false" customHeight="true" outlineLevel="0" collapsed="false">
      <c r="A13" s="81" t="s">
        <v>339</v>
      </c>
      <c r="B13" s="82" t="s">
        <v>340</v>
      </c>
      <c r="C13" s="101" t="s">
        <v>348</v>
      </c>
      <c r="D13" s="101"/>
      <c r="E13" s="101" t="n">
        <v>0</v>
      </c>
      <c r="F13" s="92" t="s">
        <v>342</v>
      </c>
    </row>
    <row r="14" s="81" customFormat="true" ht="20.25" hidden="false" customHeight="true" outlineLevel="0" collapsed="false">
      <c r="A14" s="81" t="s">
        <v>339</v>
      </c>
      <c r="B14" s="82" t="s">
        <v>340</v>
      </c>
      <c r="C14" s="101" t="s">
        <v>349</v>
      </c>
      <c r="D14" s="101"/>
      <c r="E14" s="101" t="n">
        <v>0</v>
      </c>
      <c r="F14" s="92" t="s">
        <v>342</v>
      </c>
    </row>
    <row r="15" s="81" customFormat="true" ht="20.25" hidden="false" customHeight="true" outlineLevel="0" collapsed="false">
      <c r="A15" s="81" t="s">
        <v>339</v>
      </c>
      <c r="B15" s="82" t="s">
        <v>340</v>
      </c>
      <c r="C15" s="101" t="s">
        <v>350</v>
      </c>
      <c r="D15" s="101"/>
      <c r="E15" s="101" t="n">
        <v>0</v>
      </c>
      <c r="F15" s="92" t="s">
        <v>342</v>
      </c>
    </row>
    <row r="16" s="81" customFormat="true" ht="20.25" hidden="false" customHeight="true" outlineLevel="0" collapsed="false">
      <c r="A16" s="81" t="s">
        <v>339</v>
      </c>
      <c r="B16" s="82" t="s">
        <v>340</v>
      </c>
      <c r="C16" s="101" t="s">
        <v>351</v>
      </c>
      <c r="D16" s="101"/>
      <c r="E16" s="101" t="n">
        <v>0</v>
      </c>
      <c r="F16" s="92" t="s">
        <v>342</v>
      </c>
    </row>
    <row r="17" s="81" customFormat="true" ht="20.25" hidden="false" customHeight="true" outlineLevel="0" collapsed="false">
      <c r="A17" s="81" t="s">
        <v>339</v>
      </c>
      <c r="B17" s="82" t="s">
        <v>340</v>
      </c>
      <c r="C17" s="101" t="s">
        <v>352</v>
      </c>
      <c r="D17" s="101"/>
      <c r="E17" s="101" t="s">
        <v>353</v>
      </c>
      <c r="F17" s="92" t="s">
        <v>342</v>
      </c>
    </row>
    <row r="18" customFormat="false" ht="15.75" hidden="false" customHeight="false" outlineLevel="0" collapsed="false">
      <c r="A18" s="81" t="s">
        <v>339</v>
      </c>
      <c r="B18" s="82" t="s">
        <v>340</v>
      </c>
      <c r="C18" s="101" t="s">
        <v>354</v>
      </c>
      <c r="D18" s="101"/>
      <c r="E18" s="101" t="s">
        <v>353</v>
      </c>
      <c r="F18" s="92" t="s">
        <v>342</v>
      </c>
    </row>
    <row r="19" customFormat="false" ht="15.75" hidden="false" customHeight="false" outlineLevel="0" collapsed="false">
      <c r="A19" s="81" t="s">
        <v>339</v>
      </c>
      <c r="B19" s="82" t="s">
        <v>340</v>
      </c>
      <c r="C19" s="101" t="s">
        <v>355</v>
      </c>
      <c r="D19" s="101"/>
      <c r="E19" s="101" t="s">
        <v>345</v>
      </c>
      <c r="F19" s="92" t="s">
        <v>342</v>
      </c>
    </row>
    <row r="20" customFormat="false" ht="15.75" hidden="false" customHeight="false" outlineLevel="0" collapsed="false">
      <c r="A20" s="81" t="s">
        <v>339</v>
      </c>
      <c r="B20" s="82" t="s">
        <v>340</v>
      </c>
      <c r="C20" s="101" t="s">
        <v>356</v>
      </c>
      <c r="D20" s="101"/>
      <c r="E20" s="101" t="s">
        <v>357</v>
      </c>
      <c r="F20" s="92" t="s">
        <v>342</v>
      </c>
    </row>
    <row r="21" customFormat="false" ht="15.75" hidden="false" customHeight="false" outlineLevel="0" collapsed="false">
      <c r="A21" s="81" t="s">
        <v>339</v>
      </c>
      <c r="B21" s="82" t="s">
        <v>340</v>
      </c>
      <c r="C21" s="101" t="s">
        <v>358</v>
      </c>
      <c r="D21" s="101"/>
      <c r="E21" s="101" t="s">
        <v>357</v>
      </c>
      <c r="F21" s="92" t="s">
        <v>342</v>
      </c>
    </row>
    <row r="22" customFormat="false" ht="15.75" hidden="false" customHeight="false" outlineLevel="0" collapsed="false">
      <c r="A22" s="81" t="s">
        <v>339</v>
      </c>
      <c r="B22" s="82" t="s">
        <v>340</v>
      </c>
      <c r="C22" s="101" t="s">
        <v>359</v>
      </c>
      <c r="D22" s="101"/>
      <c r="E22" s="101" t="s">
        <v>357</v>
      </c>
      <c r="F22" s="92" t="s">
        <v>342</v>
      </c>
    </row>
    <row r="23" customFormat="false" ht="15.75" hidden="false" customHeight="false" outlineLevel="0" collapsed="false">
      <c r="A23" s="81" t="s">
        <v>339</v>
      </c>
      <c r="B23" s="82" t="s">
        <v>340</v>
      </c>
      <c r="C23" s="101" t="s">
        <v>360</v>
      </c>
      <c r="D23" s="101"/>
      <c r="E23" s="101" t="s">
        <v>357</v>
      </c>
      <c r="F23" s="92" t="s">
        <v>342</v>
      </c>
    </row>
    <row r="24" customFormat="false" ht="15.75" hidden="false" customHeight="false" outlineLevel="0" collapsed="false">
      <c r="A24" s="81" t="s">
        <v>339</v>
      </c>
      <c r="B24" s="82" t="s">
        <v>340</v>
      </c>
      <c r="C24" s="101" t="s">
        <v>361</v>
      </c>
      <c r="D24" s="101"/>
      <c r="E24" s="101" t="s">
        <v>357</v>
      </c>
      <c r="F24" s="92" t="s">
        <v>342</v>
      </c>
    </row>
    <row r="25" customFormat="false" ht="15.75" hidden="false" customHeight="false" outlineLevel="0" collapsed="false">
      <c r="A25" s="81" t="s">
        <v>339</v>
      </c>
      <c r="B25" s="82" t="s">
        <v>340</v>
      </c>
      <c r="C25" s="101" t="s">
        <v>362</v>
      </c>
      <c r="D25" s="101"/>
      <c r="E25" s="101" t="s">
        <v>357</v>
      </c>
      <c r="F25" s="92" t="s">
        <v>342</v>
      </c>
    </row>
    <row r="26" customFormat="false" ht="15.75" hidden="false" customHeight="false" outlineLevel="0" collapsed="false">
      <c r="A26" s="81" t="s">
        <v>339</v>
      </c>
      <c r="B26" s="82" t="s">
        <v>340</v>
      </c>
      <c r="C26" s="101" t="s">
        <v>363</v>
      </c>
      <c r="D26" s="101"/>
      <c r="E26" s="101" t="s">
        <v>357</v>
      </c>
      <c r="F26" s="92" t="s">
        <v>342</v>
      </c>
    </row>
    <row r="27" customFormat="false" ht="15.75" hidden="false" customHeight="false" outlineLevel="0" collapsed="false">
      <c r="A27" s="81" t="s">
        <v>339</v>
      </c>
      <c r="B27" s="82" t="s">
        <v>340</v>
      </c>
      <c r="C27" s="101" t="s">
        <v>364</v>
      </c>
      <c r="D27" s="101"/>
      <c r="E27" s="101" t="s">
        <v>357</v>
      </c>
      <c r="F27" s="92" t="s">
        <v>342</v>
      </c>
    </row>
    <row r="28" customFormat="false" ht="15.75" hidden="false" customHeight="false" outlineLevel="0" collapsed="false">
      <c r="A28" s="81" t="s">
        <v>339</v>
      </c>
      <c r="B28" s="82" t="s">
        <v>340</v>
      </c>
      <c r="C28" s="101" t="s">
        <v>365</v>
      </c>
      <c r="D28" s="101"/>
      <c r="E28" s="101" t="s">
        <v>357</v>
      </c>
      <c r="F28" s="92" t="s">
        <v>342</v>
      </c>
    </row>
    <row r="29" customFormat="false" ht="15.75" hidden="false" customHeight="false" outlineLevel="0" collapsed="false">
      <c r="A29" s="81" t="s">
        <v>339</v>
      </c>
      <c r="B29" s="82" t="s">
        <v>340</v>
      </c>
      <c r="C29" s="101" t="s">
        <v>366</v>
      </c>
      <c r="D29" s="101"/>
      <c r="E29" s="101" t="s">
        <v>357</v>
      </c>
      <c r="F29" s="92" t="s">
        <v>342</v>
      </c>
    </row>
    <row r="30" customFormat="false" ht="15.75" hidden="false" customHeight="false" outlineLevel="0" collapsed="false">
      <c r="A30" s="81" t="s">
        <v>339</v>
      </c>
      <c r="B30" s="82" t="s">
        <v>340</v>
      </c>
      <c r="C30" s="101" t="s">
        <v>367</v>
      </c>
      <c r="D30" s="101"/>
      <c r="E30" s="101" t="s">
        <v>357</v>
      </c>
      <c r="F30" s="92" t="s">
        <v>342</v>
      </c>
    </row>
    <row r="31" customFormat="false" ht="15.75" hidden="false" customHeight="false" outlineLevel="0" collapsed="false">
      <c r="A31" s="81" t="s">
        <v>339</v>
      </c>
      <c r="B31" s="82" t="s">
        <v>340</v>
      </c>
      <c r="C31" s="101" t="s">
        <v>368</v>
      </c>
      <c r="D31" s="101"/>
      <c r="E31" s="101" t="s">
        <v>357</v>
      </c>
      <c r="F31" s="92" t="s">
        <v>342</v>
      </c>
    </row>
    <row r="32" customFormat="false" ht="15.75" hidden="false" customHeight="false" outlineLevel="0" collapsed="false">
      <c r="A32" s="81" t="s">
        <v>339</v>
      </c>
      <c r="B32" s="82" t="s">
        <v>340</v>
      </c>
      <c r="C32" s="101" t="s">
        <v>369</v>
      </c>
      <c r="D32" s="101"/>
      <c r="E32" s="101" t="s">
        <v>357</v>
      </c>
      <c r="F32" s="92" t="s">
        <v>342</v>
      </c>
    </row>
    <row r="33" customFormat="false" ht="15.75" hidden="false" customHeight="false" outlineLevel="0" collapsed="false">
      <c r="A33" s="81" t="s">
        <v>339</v>
      </c>
      <c r="B33" s="82" t="s">
        <v>340</v>
      </c>
      <c r="C33" s="101" t="s">
        <v>370</v>
      </c>
      <c r="D33" s="101"/>
      <c r="E33" s="101" t="s">
        <v>357</v>
      </c>
      <c r="F33" s="92" t="s">
        <v>342</v>
      </c>
    </row>
    <row r="34" customFormat="false" ht="15.75" hidden="false" customHeight="false" outlineLevel="0" collapsed="false">
      <c r="A34" s="81" t="s">
        <v>339</v>
      </c>
      <c r="B34" s="82" t="s">
        <v>340</v>
      </c>
      <c r="C34" s="101" t="s">
        <v>371</v>
      </c>
      <c r="D34" s="101"/>
      <c r="E34" s="101" t="s">
        <v>357</v>
      </c>
      <c r="F34" s="92" t="s">
        <v>342</v>
      </c>
    </row>
    <row r="35" customFormat="false" ht="15.75" hidden="false" customHeight="false" outlineLevel="0" collapsed="false">
      <c r="A35" s="84" t="s">
        <v>109</v>
      </c>
      <c r="B35" s="92" t="s">
        <v>112</v>
      </c>
      <c r="C35" s="96" t="s">
        <v>204</v>
      </c>
      <c r="D35" s="96"/>
      <c r="E35" s="96" t="n">
        <v>2</v>
      </c>
      <c r="F35" s="92" t="s">
        <v>342</v>
      </c>
    </row>
    <row r="36" customFormat="false" ht="15.75" hidden="false" customHeight="false" outlineLevel="0" collapsed="false">
      <c r="A36" s="84" t="s">
        <v>109</v>
      </c>
      <c r="B36" s="92" t="s">
        <v>112</v>
      </c>
      <c r="C36" s="96" t="s">
        <v>213</v>
      </c>
      <c r="D36" s="96"/>
      <c r="E36" s="96" t="n">
        <v>1</v>
      </c>
      <c r="F36" s="92" t="s">
        <v>342</v>
      </c>
    </row>
    <row r="37" customFormat="false" ht="15.75" hidden="false" customHeight="false" outlineLevel="0" collapsed="false">
      <c r="A37" s="84" t="s">
        <v>109</v>
      </c>
      <c r="B37" s="92" t="s">
        <v>112</v>
      </c>
      <c r="C37" s="96" t="s">
        <v>207</v>
      </c>
      <c r="D37" s="96"/>
      <c r="E37" s="96" t="n">
        <v>0</v>
      </c>
      <c r="F37" s="92" t="s">
        <v>342</v>
      </c>
    </row>
    <row r="38" customFormat="false" ht="15.75" hidden="false" customHeight="false" outlineLevel="0" collapsed="false">
      <c r="A38" s="81" t="s">
        <v>137</v>
      </c>
      <c r="B38" s="82" t="s">
        <v>138</v>
      </c>
      <c r="C38" s="96" t="s">
        <v>207</v>
      </c>
      <c r="D38" s="96"/>
      <c r="E38" s="96" t="n">
        <v>0</v>
      </c>
      <c r="F38" s="92" t="s">
        <v>342</v>
      </c>
    </row>
    <row r="39" customFormat="false" ht="15.75" hidden="false" customHeight="false" outlineLevel="0" collapsed="false">
      <c r="A39" s="81" t="s">
        <v>137</v>
      </c>
      <c r="B39" s="82" t="s">
        <v>138</v>
      </c>
      <c r="C39" s="96" t="s">
        <v>204</v>
      </c>
      <c r="D39" s="96"/>
      <c r="E39" s="96" t="n">
        <v>2</v>
      </c>
      <c r="F39" s="92" t="s">
        <v>342</v>
      </c>
    </row>
    <row r="40" customFormat="false" ht="15.75" hidden="false" customHeight="false" outlineLevel="0" collapsed="false">
      <c r="A40" s="81" t="s">
        <v>137</v>
      </c>
      <c r="B40" s="82" t="s">
        <v>138</v>
      </c>
      <c r="C40" s="96" t="s">
        <v>206</v>
      </c>
      <c r="D40" s="96"/>
      <c r="E40" s="96" t="n">
        <v>1</v>
      </c>
      <c r="F40" s="92" t="s">
        <v>342</v>
      </c>
    </row>
    <row r="41" customFormat="false" ht="15.75" hidden="false" customHeight="false" outlineLevel="0" collapsed="false">
      <c r="A41" s="81" t="s">
        <v>137</v>
      </c>
      <c r="B41" s="92" t="s">
        <v>139</v>
      </c>
      <c r="C41" s="96" t="s">
        <v>207</v>
      </c>
      <c r="D41" s="96"/>
      <c r="E41" s="96" t="n">
        <v>0</v>
      </c>
      <c r="F41" s="92" t="s">
        <v>342</v>
      </c>
    </row>
    <row r="42" customFormat="false" ht="15.75" hidden="false" customHeight="false" outlineLevel="0" collapsed="false">
      <c r="A42" s="81" t="s">
        <v>137</v>
      </c>
      <c r="B42" s="92" t="s">
        <v>139</v>
      </c>
      <c r="C42" s="96" t="s">
        <v>204</v>
      </c>
      <c r="D42" s="96"/>
      <c r="E42" s="96" t="n">
        <v>2</v>
      </c>
      <c r="F42" s="92" t="s">
        <v>342</v>
      </c>
    </row>
    <row r="43" customFormat="false" ht="15.75" hidden="false" customHeight="false" outlineLevel="0" collapsed="false">
      <c r="A43" s="81" t="s">
        <v>137</v>
      </c>
      <c r="B43" s="92" t="s">
        <v>139</v>
      </c>
      <c r="C43" s="96" t="s">
        <v>213</v>
      </c>
      <c r="D43" s="96"/>
      <c r="E43" s="96" t="n">
        <v>1</v>
      </c>
      <c r="F43" s="92" t="s">
        <v>342</v>
      </c>
    </row>
    <row r="44" customFormat="false" ht="15.75" hidden="false" customHeight="false" outlineLevel="0" collapsed="false">
      <c r="A44" s="81" t="s">
        <v>80</v>
      </c>
      <c r="B44" s="92" t="s">
        <v>81</v>
      </c>
      <c r="C44" s="96" t="s">
        <v>207</v>
      </c>
      <c r="D44" s="96"/>
      <c r="E44" s="96" t="n">
        <v>2</v>
      </c>
      <c r="F44" s="92" t="s">
        <v>342</v>
      </c>
    </row>
    <row r="45" customFormat="false" ht="15.75" hidden="false" customHeight="false" outlineLevel="0" collapsed="false">
      <c r="A45" s="81" t="s">
        <v>80</v>
      </c>
      <c r="B45" s="92" t="s">
        <v>81</v>
      </c>
      <c r="C45" s="96" t="s">
        <v>213</v>
      </c>
      <c r="D45" s="96"/>
      <c r="E45" s="96" t="n">
        <v>1</v>
      </c>
      <c r="F45" s="92" t="s">
        <v>342</v>
      </c>
    </row>
    <row r="46" customFormat="false" ht="15.75" hidden="false" customHeight="false" outlineLevel="0" collapsed="false">
      <c r="A46" s="81" t="s">
        <v>80</v>
      </c>
      <c r="B46" s="92" t="s">
        <v>81</v>
      </c>
      <c r="C46" s="96" t="s">
        <v>204</v>
      </c>
      <c r="D46" s="96"/>
      <c r="E46" s="96" t="n">
        <v>0</v>
      </c>
      <c r="F46" s="92" t="s">
        <v>342</v>
      </c>
    </row>
    <row r="47" customFormat="false" ht="17.9" hidden="false" customHeight="false" outlineLevel="0" collapsed="false">
      <c r="A47" s="81" t="s">
        <v>93</v>
      </c>
      <c r="B47" s="82" t="s">
        <v>94</v>
      </c>
      <c r="C47" s="96" t="s">
        <v>207</v>
      </c>
      <c r="D47" s="96"/>
      <c r="E47" s="96" t="n">
        <v>1</v>
      </c>
      <c r="F47" s="102" t="s">
        <v>372</v>
      </c>
    </row>
    <row r="48" customFormat="false" ht="17.9" hidden="false" customHeight="false" outlineLevel="0" collapsed="false">
      <c r="A48" s="81" t="s">
        <v>93</v>
      </c>
      <c r="B48" s="82" t="s">
        <v>94</v>
      </c>
      <c r="C48" s="96" t="s">
        <v>213</v>
      </c>
      <c r="D48" s="96"/>
      <c r="E48" s="96" t="n">
        <v>0</v>
      </c>
      <c r="F48" s="102" t="s">
        <v>372</v>
      </c>
    </row>
    <row r="49" customFormat="false" ht="17.9" hidden="false" customHeight="false" outlineLevel="0" collapsed="false">
      <c r="A49" s="81" t="s">
        <v>93</v>
      </c>
      <c r="B49" s="82" t="s">
        <v>94</v>
      </c>
      <c r="C49" s="96" t="s">
        <v>204</v>
      </c>
      <c r="D49" s="96"/>
      <c r="E49" s="96" t="n">
        <v>0</v>
      </c>
      <c r="F49" s="102" t="s">
        <v>372</v>
      </c>
    </row>
    <row r="50" customFormat="false" ht="17.9" hidden="false" customHeight="false" outlineLevel="0" collapsed="false">
      <c r="A50" s="81" t="s">
        <v>93</v>
      </c>
      <c r="B50" s="92" t="s">
        <v>95</v>
      </c>
      <c r="C50" s="96" t="s">
        <v>209</v>
      </c>
      <c r="D50" s="96"/>
      <c r="E50" s="96" t="n">
        <v>1</v>
      </c>
      <c r="F50" s="102" t="s">
        <v>372</v>
      </c>
    </row>
    <row r="51" customFormat="false" ht="17.9" hidden="false" customHeight="false" outlineLevel="0" collapsed="false">
      <c r="A51" s="81" t="s">
        <v>93</v>
      </c>
      <c r="B51" s="92" t="s">
        <v>95</v>
      </c>
      <c r="C51" s="96" t="s">
        <v>276</v>
      </c>
      <c r="D51" s="96"/>
      <c r="E51" s="96" t="n">
        <v>0</v>
      </c>
      <c r="F51" s="102" t="s">
        <v>372</v>
      </c>
    </row>
    <row r="52" customFormat="false" ht="17.9" hidden="false" customHeight="false" outlineLevel="0" collapsed="false">
      <c r="A52" s="81" t="s">
        <v>93</v>
      </c>
      <c r="B52" s="92" t="s">
        <v>95</v>
      </c>
      <c r="C52" s="96" t="s">
        <v>207</v>
      </c>
      <c r="D52" s="96"/>
      <c r="E52" s="96" t="n">
        <v>0</v>
      </c>
      <c r="F52" s="102" t="s">
        <v>372</v>
      </c>
    </row>
    <row r="53" customFormat="false" ht="15.75" hidden="false" customHeight="false" outlineLevel="0" collapsed="false">
      <c r="A53" s="81" t="s">
        <v>82</v>
      </c>
      <c r="B53" s="82" t="s">
        <v>83</v>
      </c>
      <c r="C53" s="96" t="s">
        <v>207</v>
      </c>
      <c r="D53" s="96"/>
      <c r="E53" s="96" t="n">
        <v>0</v>
      </c>
      <c r="F53" s="82" t="s">
        <v>373</v>
      </c>
    </row>
    <row r="54" customFormat="false" ht="15.75" hidden="false" customHeight="false" outlineLevel="0" collapsed="false">
      <c r="A54" s="81" t="s">
        <v>82</v>
      </c>
      <c r="B54" s="82" t="s">
        <v>83</v>
      </c>
      <c r="C54" s="96" t="s">
        <v>206</v>
      </c>
      <c r="D54" s="96"/>
      <c r="E54" s="96" t="n">
        <v>-1</v>
      </c>
      <c r="F54" s="82" t="s">
        <v>373</v>
      </c>
    </row>
    <row r="55" customFormat="false" ht="15.75" hidden="false" customHeight="false" outlineLevel="0" collapsed="false">
      <c r="A55" s="81" t="s">
        <v>82</v>
      </c>
      <c r="B55" s="82" t="s">
        <v>83</v>
      </c>
      <c r="C55" s="96" t="s">
        <v>204</v>
      </c>
      <c r="D55" s="96"/>
      <c r="E55" s="96" t="n">
        <v>-2</v>
      </c>
      <c r="F55" s="82" t="s">
        <v>373</v>
      </c>
    </row>
    <row r="56" customFormat="false" ht="20.25" hidden="false" customHeight="true" outlineLevel="0" collapsed="false">
      <c r="A56" s="81" t="s">
        <v>27</v>
      </c>
      <c r="B56" s="82" t="s">
        <v>28</v>
      </c>
      <c r="C56" s="96" t="s">
        <v>211</v>
      </c>
      <c r="D56" s="96"/>
      <c r="E56" s="96" t="n">
        <v>2</v>
      </c>
      <c r="F56" s="82" t="s">
        <v>373</v>
      </c>
    </row>
    <row r="57" customFormat="false" ht="20.25" hidden="false" customHeight="true" outlineLevel="0" collapsed="false">
      <c r="A57" s="81" t="s">
        <v>27</v>
      </c>
      <c r="B57" s="82" t="s">
        <v>28</v>
      </c>
      <c r="C57" s="96" t="s">
        <v>214</v>
      </c>
      <c r="D57" s="96"/>
      <c r="E57" s="96" t="n">
        <v>0</v>
      </c>
      <c r="F57" s="82" t="s">
        <v>373</v>
      </c>
    </row>
    <row r="58" customFormat="false" ht="20.25" hidden="false" customHeight="true" outlineLevel="0" collapsed="false">
      <c r="A58" s="81" t="s">
        <v>27</v>
      </c>
      <c r="B58" s="82" t="s">
        <v>28</v>
      </c>
      <c r="C58" s="96" t="s">
        <v>207</v>
      </c>
      <c r="D58" s="96"/>
      <c r="E58" s="96" t="n">
        <v>0</v>
      </c>
      <c r="F58" s="82" t="s">
        <v>373</v>
      </c>
    </row>
    <row r="59" customFormat="false" ht="20.25" hidden="false" customHeight="true" outlineLevel="0" collapsed="false">
      <c r="A59" s="81" t="s">
        <v>187</v>
      </c>
      <c r="B59" s="82" t="s">
        <v>188</v>
      </c>
      <c r="C59" s="96" t="s">
        <v>211</v>
      </c>
      <c r="D59" s="96"/>
      <c r="E59" s="96" t="n">
        <v>0</v>
      </c>
      <c r="F59" s="92" t="s">
        <v>337</v>
      </c>
    </row>
    <row r="60" customFormat="false" ht="20.25" hidden="false" customHeight="true" outlineLevel="0" collapsed="false">
      <c r="A60" s="81" t="s">
        <v>187</v>
      </c>
      <c r="B60" s="82" t="s">
        <v>188</v>
      </c>
      <c r="C60" s="96" t="s">
        <v>218</v>
      </c>
      <c r="D60" s="96"/>
      <c r="E60" s="96" t="n">
        <v>-1</v>
      </c>
      <c r="F60" s="92" t="s">
        <v>337</v>
      </c>
    </row>
    <row r="61" customFormat="false" ht="20.25" hidden="false" customHeight="true" outlineLevel="0" collapsed="false">
      <c r="A61" s="81" t="s">
        <v>187</v>
      </c>
      <c r="B61" s="82" t="s">
        <v>188</v>
      </c>
      <c r="C61" s="96" t="s">
        <v>209</v>
      </c>
      <c r="D61" s="96"/>
      <c r="E61" s="96" t="n">
        <v>-2</v>
      </c>
      <c r="F61" s="92" t="s">
        <v>337</v>
      </c>
    </row>
    <row r="62" customFormat="false" ht="20.25" hidden="false" customHeight="true" outlineLevel="0" collapsed="false">
      <c r="A62" s="81" t="s">
        <v>131</v>
      </c>
      <c r="B62" s="82" t="s">
        <v>132</v>
      </c>
      <c r="C62" s="96" t="s">
        <v>207</v>
      </c>
      <c r="D62" s="96"/>
      <c r="E62" s="96" t="n">
        <v>2</v>
      </c>
      <c r="F62" s="92" t="s">
        <v>337</v>
      </c>
    </row>
    <row r="63" customFormat="false" ht="15.75" hidden="false" customHeight="false" outlineLevel="0" collapsed="false">
      <c r="A63" s="81" t="s">
        <v>131</v>
      </c>
      <c r="B63" s="82" t="s">
        <v>132</v>
      </c>
      <c r="C63" s="96" t="s">
        <v>206</v>
      </c>
      <c r="D63" s="96"/>
      <c r="E63" s="96" t="n">
        <v>0</v>
      </c>
      <c r="F63" s="92" t="s">
        <v>337</v>
      </c>
    </row>
    <row r="64" customFormat="false" ht="15.75" hidden="false" customHeight="false" outlineLevel="0" collapsed="false">
      <c r="A64" s="81" t="s">
        <v>131</v>
      </c>
      <c r="B64" s="82" t="s">
        <v>132</v>
      </c>
      <c r="C64" s="96" t="s">
        <v>204</v>
      </c>
      <c r="D64" s="96"/>
      <c r="E64" s="96" t="n">
        <v>0</v>
      </c>
      <c r="F64" s="92" t="s">
        <v>337</v>
      </c>
    </row>
    <row r="65" customFormat="false" ht="17.25" hidden="false" customHeight="true" outlineLevel="0" collapsed="false">
      <c r="A65" s="81" t="s">
        <v>129</v>
      </c>
      <c r="B65" s="82" t="s">
        <v>130</v>
      </c>
      <c r="C65" s="96" t="s">
        <v>207</v>
      </c>
      <c r="D65" s="96"/>
      <c r="E65" s="96" t="n">
        <v>-1</v>
      </c>
      <c r="F65" s="102" t="s">
        <v>372</v>
      </c>
    </row>
    <row r="66" customFormat="false" ht="17.9" hidden="false" customHeight="false" outlineLevel="0" collapsed="false">
      <c r="A66" s="81" t="s">
        <v>129</v>
      </c>
      <c r="B66" s="82" t="s">
        <v>130</v>
      </c>
      <c r="C66" s="96" t="s">
        <v>213</v>
      </c>
      <c r="D66" s="96"/>
      <c r="E66" s="96" t="n">
        <v>0</v>
      </c>
      <c r="F66" s="102" t="s">
        <v>372</v>
      </c>
    </row>
    <row r="67" customFormat="false" ht="17.9" hidden="false" customHeight="false" outlineLevel="0" collapsed="false">
      <c r="A67" s="81" t="s">
        <v>129</v>
      </c>
      <c r="B67" s="82" t="s">
        <v>130</v>
      </c>
      <c r="C67" s="96" t="s">
        <v>204</v>
      </c>
      <c r="D67" s="96"/>
      <c r="E67" s="96" t="n">
        <v>1</v>
      </c>
      <c r="F67" s="102" t="s">
        <v>372</v>
      </c>
    </row>
    <row r="68" customFormat="false" ht="15.75" hidden="false" customHeight="false" outlineLevel="0" collapsed="false">
      <c r="C68" s="96"/>
      <c r="D68" s="96"/>
      <c r="F68" s="102"/>
    </row>
    <row r="69" customFormat="false" ht="15.75" hidden="false" customHeight="false" outlineLevel="0" collapsed="false">
      <c r="C69" s="96"/>
      <c r="D69" s="96"/>
    </row>
    <row r="70" s="104" customFormat="true" ht="19.5" hidden="false" customHeight="true" outlineLevel="0" collapsed="false">
      <c r="A70" s="103" t="s">
        <v>374</v>
      </c>
      <c r="B70" s="103"/>
      <c r="E70" s="105"/>
      <c r="F70" s="103"/>
    </row>
    <row r="71" s="104" customFormat="true" ht="19.5" hidden="false" customHeight="true" outlineLevel="0" collapsed="false">
      <c r="A71" s="103" t="s">
        <v>375</v>
      </c>
      <c r="B71" s="103"/>
      <c r="E71" s="105"/>
      <c r="F71" s="103"/>
    </row>
    <row r="72" s="104" customFormat="true" ht="19.5" hidden="false" customHeight="true" outlineLevel="0" collapsed="false">
      <c r="A72" s="103" t="s">
        <v>376</v>
      </c>
      <c r="B72" s="103"/>
      <c r="E72" s="105"/>
      <c r="F72" s="103"/>
    </row>
    <row r="73" s="104" customFormat="true" ht="19.5" hidden="false" customHeight="true" outlineLevel="0" collapsed="false">
      <c r="A73" s="103" t="s">
        <v>377</v>
      </c>
      <c r="B73" s="103"/>
      <c r="E73" s="105"/>
      <c r="F73" s="103"/>
    </row>
    <row r="74" customFormat="false" ht="19.5" hidden="false" customHeight="true" outlineLevel="0" collapsed="false">
      <c r="A74" s="99" t="s">
        <v>378</v>
      </c>
    </row>
    <row r="75" customFormat="false" ht="41.25" hidden="false" customHeight="true" outlineLevel="0" collapsed="false">
      <c r="A75" s="106" t="s">
        <v>379</v>
      </c>
      <c r="B75" s="82" t="s">
        <v>380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C48" activeCellId="0" sqref="C48"/>
    </sheetView>
  </sheetViews>
  <sheetFormatPr defaultColWidth="22.57421875" defaultRowHeight="15.75" zeroHeight="false" outlineLevelRow="0" outlineLevelCol="0"/>
  <cols>
    <col collapsed="false" customWidth="true" hidden="false" outlineLevel="0" max="1" min="1" style="107" width="47.57"/>
    <col collapsed="false" customWidth="true" hidden="false" outlineLevel="0" max="2" min="2" style="108" width="25.71"/>
    <col collapsed="false" customWidth="true" hidden="false" outlineLevel="0" max="3" min="3" style="109" width="18"/>
    <col collapsed="false" customWidth="true" hidden="false" outlineLevel="0" max="4" min="4" style="109" width="14"/>
    <col collapsed="false" customWidth="true" hidden="false" outlineLevel="0" max="5" min="5" style="110" width="9.29"/>
    <col collapsed="false" customWidth="true" hidden="false" outlineLevel="0" max="6" min="6" style="108" width="59.28"/>
    <col collapsed="false" customWidth="true" hidden="false" outlineLevel="0" max="7" min="7" style="108" width="58.43"/>
    <col collapsed="false" customWidth="false" hidden="false" outlineLevel="0" max="1022" min="8" style="108" width="22.57"/>
    <col collapsed="false" customWidth="true" hidden="false" outlineLevel="0" max="1024" min="1023" style="0" width="11.57"/>
  </cols>
  <sheetData>
    <row r="1" s="109" customFormat="true" ht="15.75" hidden="false" customHeight="false" outlineLevel="0" collapsed="false">
      <c r="A1" s="111" t="s">
        <v>0</v>
      </c>
      <c r="B1" s="109" t="s">
        <v>1</v>
      </c>
      <c r="C1" s="109" t="s">
        <v>200</v>
      </c>
      <c r="D1" s="109" t="s">
        <v>201</v>
      </c>
      <c r="E1" s="110" t="s">
        <v>2</v>
      </c>
      <c r="F1" s="109" t="s">
        <v>202</v>
      </c>
    </row>
    <row r="2" s="113" customFormat="true" ht="15.75" hidden="false" customHeight="false" outlineLevel="0" collapsed="false">
      <c r="A2" s="112" t="s">
        <v>381</v>
      </c>
      <c r="B2" s="113" t="s">
        <v>32</v>
      </c>
      <c r="C2" s="113" t="s">
        <v>204</v>
      </c>
      <c r="D2" s="114"/>
      <c r="E2" s="114" t="n">
        <v>1</v>
      </c>
      <c r="F2" s="113" t="s">
        <v>382</v>
      </c>
    </row>
    <row r="3" s="113" customFormat="true" ht="15.75" hidden="false" customHeight="false" outlineLevel="0" collapsed="false">
      <c r="A3" s="112" t="s">
        <v>381</v>
      </c>
      <c r="B3" s="113" t="s">
        <v>32</v>
      </c>
      <c r="C3" s="113" t="s">
        <v>206</v>
      </c>
      <c r="D3" s="114"/>
      <c r="E3" s="114" t="n">
        <v>0</v>
      </c>
      <c r="F3" s="113" t="s">
        <v>382</v>
      </c>
    </row>
    <row r="4" s="113" customFormat="true" ht="15.75" hidden="false" customHeight="false" outlineLevel="0" collapsed="false">
      <c r="A4" s="112" t="s">
        <v>381</v>
      </c>
      <c r="B4" s="113" t="s">
        <v>32</v>
      </c>
      <c r="C4" s="113" t="s">
        <v>207</v>
      </c>
      <c r="D4" s="114"/>
      <c r="E4" s="114" t="n">
        <v>0</v>
      </c>
      <c r="F4" s="113" t="s">
        <v>382</v>
      </c>
    </row>
    <row r="5" s="113" customFormat="true" ht="18.75" hidden="false" customHeight="true" outlineLevel="0" collapsed="false">
      <c r="A5" s="112" t="s">
        <v>383</v>
      </c>
      <c r="B5" s="113" t="s">
        <v>64</v>
      </c>
      <c r="C5" s="113" t="s">
        <v>211</v>
      </c>
      <c r="D5" s="114"/>
      <c r="E5" s="114" t="n">
        <v>1</v>
      </c>
      <c r="F5" s="113" t="s">
        <v>384</v>
      </c>
    </row>
    <row r="6" s="113" customFormat="true" ht="15.75" hidden="false" customHeight="false" outlineLevel="0" collapsed="false">
      <c r="A6" s="112" t="s">
        <v>383</v>
      </c>
      <c r="B6" s="113" t="s">
        <v>64</v>
      </c>
      <c r="C6" s="113" t="s">
        <v>218</v>
      </c>
      <c r="D6" s="114"/>
      <c r="E6" s="114" t="n">
        <v>0</v>
      </c>
      <c r="F6" s="113" t="s">
        <v>384</v>
      </c>
    </row>
    <row r="7" s="113" customFormat="true" ht="15.75" hidden="false" customHeight="false" outlineLevel="0" collapsed="false">
      <c r="A7" s="112" t="s">
        <v>383</v>
      </c>
      <c r="B7" s="113" t="s">
        <v>385</v>
      </c>
      <c r="C7" s="113" t="s">
        <v>209</v>
      </c>
      <c r="D7" s="114"/>
      <c r="E7" s="114" t="n">
        <v>0</v>
      </c>
      <c r="F7" s="113" t="s">
        <v>384</v>
      </c>
    </row>
    <row r="8" s="113" customFormat="true" ht="15.75" hidden="false" customHeight="false" outlineLevel="0" collapsed="false">
      <c r="A8" s="112" t="s">
        <v>386</v>
      </c>
      <c r="B8" s="113" t="s">
        <v>47</v>
      </c>
      <c r="C8" s="113" t="s">
        <v>211</v>
      </c>
      <c r="D8" s="114"/>
      <c r="E8" s="114" t="n">
        <v>0</v>
      </c>
      <c r="F8" s="113" t="s">
        <v>387</v>
      </c>
    </row>
    <row r="9" s="113" customFormat="true" ht="15.75" hidden="false" customHeight="false" outlineLevel="0" collapsed="false">
      <c r="A9" s="112" t="s">
        <v>386</v>
      </c>
      <c r="B9" s="113" t="s">
        <v>47</v>
      </c>
      <c r="C9" s="113" t="s">
        <v>218</v>
      </c>
      <c r="D9" s="114"/>
      <c r="E9" s="114" t="n">
        <v>0</v>
      </c>
      <c r="F9" s="113" t="s">
        <v>387</v>
      </c>
    </row>
    <row r="10" s="113" customFormat="true" ht="15.75" hidden="false" customHeight="false" outlineLevel="0" collapsed="false">
      <c r="A10" s="112" t="s">
        <v>386</v>
      </c>
      <c r="B10" s="113" t="s">
        <v>47</v>
      </c>
      <c r="C10" s="113" t="s">
        <v>209</v>
      </c>
      <c r="D10" s="114"/>
      <c r="E10" s="114" t="n">
        <v>1</v>
      </c>
      <c r="F10" s="113" t="s">
        <v>387</v>
      </c>
    </row>
    <row r="11" customFormat="false" ht="15.75" hidden="false" customHeight="false" outlineLevel="0" collapsed="false">
      <c r="A11" s="115" t="s">
        <v>388</v>
      </c>
      <c r="B11" s="116" t="s">
        <v>165</v>
      </c>
      <c r="C11" s="109" t="s">
        <v>211</v>
      </c>
      <c r="D11" s="110"/>
      <c r="E11" s="110" t="n">
        <v>1</v>
      </c>
      <c r="F11" s="108" t="s">
        <v>384</v>
      </c>
    </row>
    <row r="12" customFormat="false" ht="15.75" hidden="false" customHeight="false" outlineLevel="0" collapsed="false">
      <c r="A12" s="115" t="s">
        <v>388</v>
      </c>
      <c r="B12" s="116" t="s">
        <v>165</v>
      </c>
      <c r="C12" s="109" t="s">
        <v>218</v>
      </c>
      <c r="D12" s="110"/>
      <c r="E12" s="110" t="n">
        <v>0</v>
      </c>
      <c r="F12" s="108" t="s">
        <v>384</v>
      </c>
    </row>
    <row r="13" customFormat="false" ht="15.75" hidden="false" customHeight="false" outlineLevel="0" collapsed="false">
      <c r="A13" s="115" t="s">
        <v>388</v>
      </c>
      <c r="B13" s="116" t="s">
        <v>165</v>
      </c>
      <c r="C13" s="109" t="s">
        <v>209</v>
      </c>
      <c r="D13" s="110"/>
      <c r="E13" s="110" t="n">
        <v>0</v>
      </c>
      <c r="F13" s="108" t="s">
        <v>384</v>
      </c>
    </row>
    <row r="14" customFormat="false" ht="13.5" hidden="false" customHeight="true" outlineLevel="0" collapsed="false">
      <c r="A14" s="107" t="s">
        <v>84</v>
      </c>
      <c r="B14" s="108" t="s">
        <v>86</v>
      </c>
      <c r="C14" s="109" t="s">
        <v>211</v>
      </c>
      <c r="D14" s="110"/>
      <c r="E14" s="110" t="n">
        <v>1</v>
      </c>
      <c r="F14" s="108" t="s">
        <v>384</v>
      </c>
    </row>
    <row r="15" customFormat="false" ht="13.5" hidden="false" customHeight="true" outlineLevel="0" collapsed="false">
      <c r="A15" s="107" t="s">
        <v>84</v>
      </c>
      <c r="B15" s="108" t="s">
        <v>86</v>
      </c>
      <c r="C15" s="109" t="s">
        <v>218</v>
      </c>
      <c r="D15" s="110"/>
      <c r="E15" s="110" t="n">
        <v>0</v>
      </c>
      <c r="F15" s="108" t="s">
        <v>384</v>
      </c>
    </row>
    <row r="16" customFormat="false" ht="13.5" hidden="false" customHeight="true" outlineLevel="0" collapsed="false">
      <c r="A16" s="107" t="s">
        <v>84</v>
      </c>
      <c r="B16" s="108" t="s">
        <v>86</v>
      </c>
      <c r="C16" s="109" t="s">
        <v>209</v>
      </c>
      <c r="D16" s="110"/>
      <c r="E16" s="110" t="n">
        <v>0</v>
      </c>
      <c r="F16" s="108" t="s">
        <v>384</v>
      </c>
    </row>
    <row r="17" customFormat="false" ht="15.75" hidden="false" customHeight="false" outlineLevel="0" collapsed="false">
      <c r="A17" s="107" t="s">
        <v>84</v>
      </c>
      <c r="B17" s="108" t="s">
        <v>85</v>
      </c>
      <c r="C17" s="109" t="s">
        <v>211</v>
      </c>
      <c r="D17" s="110"/>
      <c r="E17" s="110" t="n">
        <v>0</v>
      </c>
      <c r="F17" s="108" t="s">
        <v>384</v>
      </c>
    </row>
    <row r="18" customFormat="false" ht="15.75" hidden="false" customHeight="false" outlineLevel="0" collapsed="false">
      <c r="A18" s="107" t="s">
        <v>84</v>
      </c>
      <c r="B18" s="108" t="s">
        <v>85</v>
      </c>
      <c r="C18" s="109" t="s">
        <v>218</v>
      </c>
      <c r="D18" s="110"/>
      <c r="E18" s="110" t="n">
        <v>0</v>
      </c>
      <c r="F18" s="108" t="s">
        <v>384</v>
      </c>
    </row>
    <row r="19" customFormat="false" ht="15.75" hidden="false" customHeight="false" outlineLevel="0" collapsed="false">
      <c r="A19" s="107" t="s">
        <v>84</v>
      </c>
      <c r="B19" s="108" t="s">
        <v>85</v>
      </c>
      <c r="C19" s="109" t="s">
        <v>209</v>
      </c>
      <c r="D19" s="110"/>
      <c r="E19" s="110" t="n">
        <v>1</v>
      </c>
      <c r="F19" s="108" t="s">
        <v>384</v>
      </c>
    </row>
    <row r="20" s="109" customFormat="true" ht="15.75" hidden="false" customHeight="false" outlineLevel="0" collapsed="false">
      <c r="A20" s="111" t="s">
        <v>189</v>
      </c>
      <c r="B20" s="109" t="s">
        <v>190</v>
      </c>
      <c r="C20" s="109" t="s">
        <v>207</v>
      </c>
      <c r="D20" s="110"/>
      <c r="E20" s="110" t="n">
        <v>0</v>
      </c>
      <c r="F20" s="109" t="s">
        <v>389</v>
      </c>
    </row>
    <row r="21" s="109" customFormat="true" ht="15.75" hidden="false" customHeight="false" outlineLevel="0" collapsed="false">
      <c r="A21" s="111" t="s">
        <v>189</v>
      </c>
      <c r="B21" s="109" t="s">
        <v>190</v>
      </c>
      <c r="C21" s="109" t="s">
        <v>213</v>
      </c>
      <c r="E21" s="110" t="n">
        <v>0</v>
      </c>
      <c r="F21" s="109" t="s">
        <v>389</v>
      </c>
    </row>
    <row r="22" s="109" customFormat="true" ht="15.75" hidden="false" customHeight="false" outlineLevel="0" collapsed="false">
      <c r="A22" s="111" t="s">
        <v>189</v>
      </c>
      <c r="B22" s="109" t="s">
        <v>190</v>
      </c>
      <c r="C22" s="109" t="s">
        <v>204</v>
      </c>
      <c r="E22" s="110" t="n">
        <v>1</v>
      </c>
      <c r="F22" s="109" t="s">
        <v>389</v>
      </c>
    </row>
    <row r="23" s="109" customFormat="true" ht="15.75" hidden="false" customHeight="true" outlineLevel="0" collapsed="false">
      <c r="A23" s="111" t="s">
        <v>102</v>
      </c>
      <c r="B23" s="109" t="s">
        <v>103</v>
      </c>
      <c r="C23" s="109" t="s">
        <v>204</v>
      </c>
      <c r="D23" s="110"/>
      <c r="E23" s="110" t="n">
        <v>1</v>
      </c>
      <c r="F23" s="109" t="s">
        <v>390</v>
      </c>
    </row>
    <row r="24" s="109" customFormat="true" ht="13.5" hidden="false" customHeight="true" outlineLevel="0" collapsed="false">
      <c r="A24" s="111" t="s">
        <v>102</v>
      </c>
      <c r="B24" s="109" t="s">
        <v>103</v>
      </c>
      <c r="C24" s="109" t="s">
        <v>206</v>
      </c>
      <c r="D24" s="110"/>
      <c r="E24" s="110" t="n">
        <v>0</v>
      </c>
      <c r="F24" s="109" t="s">
        <v>390</v>
      </c>
    </row>
    <row r="25" s="109" customFormat="true" ht="17.25" hidden="false" customHeight="true" outlineLevel="0" collapsed="false">
      <c r="A25" s="111" t="s">
        <v>102</v>
      </c>
      <c r="B25" s="109" t="s">
        <v>103</v>
      </c>
      <c r="C25" s="109" t="s">
        <v>207</v>
      </c>
      <c r="D25" s="110"/>
      <c r="E25" s="110" t="n">
        <v>0</v>
      </c>
      <c r="F25" s="109" t="s">
        <v>390</v>
      </c>
    </row>
    <row r="26" customFormat="false" ht="16.5" hidden="false" customHeight="true" outlineLevel="0" collapsed="false">
      <c r="A26" s="107" t="s">
        <v>386</v>
      </c>
      <c r="B26" s="108" t="s">
        <v>45</v>
      </c>
      <c r="C26" s="109" t="s">
        <v>211</v>
      </c>
      <c r="D26" s="110"/>
      <c r="E26" s="110" t="n">
        <v>1</v>
      </c>
      <c r="F26" s="108" t="s">
        <v>387</v>
      </c>
    </row>
    <row r="27" customFormat="false" ht="13.5" hidden="false" customHeight="true" outlineLevel="0" collapsed="false">
      <c r="A27" s="107" t="s">
        <v>386</v>
      </c>
      <c r="B27" s="108" t="s">
        <v>45</v>
      </c>
      <c r="C27" s="109" t="s">
        <v>218</v>
      </c>
      <c r="D27" s="110"/>
      <c r="E27" s="110" t="n">
        <v>0</v>
      </c>
      <c r="F27" s="108" t="s">
        <v>387</v>
      </c>
    </row>
    <row r="28" customFormat="false" ht="14.25" hidden="false" customHeight="true" outlineLevel="0" collapsed="false">
      <c r="A28" s="107" t="s">
        <v>386</v>
      </c>
      <c r="B28" s="108" t="s">
        <v>45</v>
      </c>
      <c r="C28" s="109" t="s">
        <v>209</v>
      </c>
      <c r="D28" s="110"/>
      <c r="E28" s="110" t="n">
        <v>0</v>
      </c>
      <c r="F28" s="108" t="s">
        <v>387</v>
      </c>
    </row>
    <row r="29" customFormat="false" ht="15.75" hidden="false" customHeight="true" outlineLevel="0" collapsed="false">
      <c r="A29" s="107" t="s">
        <v>386</v>
      </c>
      <c r="B29" s="108" t="s">
        <v>46</v>
      </c>
      <c r="C29" s="109" t="s">
        <v>204</v>
      </c>
      <c r="D29" s="110"/>
      <c r="E29" s="110" t="n">
        <v>1</v>
      </c>
      <c r="F29" s="108" t="s">
        <v>387</v>
      </c>
    </row>
    <row r="30" customFormat="false" ht="16.5" hidden="false" customHeight="true" outlineLevel="0" collapsed="false">
      <c r="A30" s="107" t="s">
        <v>386</v>
      </c>
      <c r="B30" s="108" t="s">
        <v>46</v>
      </c>
      <c r="C30" s="109" t="s">
        <v>206</v>
      </c>
      <c r="D30" s="110"/>
      <c r="E30" s="110" t="n">
        <v>0</v>
      </c>
      <c r="F30" s="108" t="s">
        <v>387</v>
      </c>
    </row>
    <row r="31" customFormat="false" ht="13.5" hidden="false" customHeight="true" outlineLevel="0" collapsed="false">
      <c r="A31" s="107" t="s">
        <v>386</v>
      </c>
      <c r="B31" s="108" t="s">
        <v>391</v>
      </c>
      <c r="C31" s="109" t="s">
        <v>207</v>
      </c>
      <c r="D31" s="110"/>
      <c r="E31" s="110" t="n">
        <v>0</v>
      </c>
      <c r="F31" s="108" t="s">
        <v>387</v>
      </c>
    </row>
    <row r="32" customFormat="false" ht="15.75" hidden="false" customHeight="false" outlineLevel="0" collapsed="false">
      <c r="A32" s="107" t="s">
        <v>123</v>
      </c>
      <c r="B32" s="108" t="s">
        <v>124</v>
      </c>
      <c r="C32" s="109" t="s">
        <v>204</v>
      </c>
      <c r="D32" s="110"/>
      <c r="E32" s="110" t="n">
        <v>0</v>
      </c>
      <c r="F32" s="108" t="s">
        <v>392</v>
      </c>
    </row>
    <row r="33" customFormat="false" ht="15.75" hidden="false" customHeight="false" outlineLevel="0" collapsed="false">
      <c r="A33" s="107" t="s">
        <v>123</v>
      </c>
      <c r="B33" s="108" t="s">
        <v>124</v>
      </c>
      <c r="C33" s="109" t="s">
        <v>206</v>
      </c>
      <c r="D33" s="110"/>
      <c r="E33" s="110" t="n">
        <v>0</v>
      </c>
      <c r="F33" s="108" t="s">
        <v>392</v>
      </c>
    </row>
    <row r="34" customFormat="false" ht="15.75" hidden="false" customHeight="false" outlineLevel="0" collapsed="false">
      <c r="A34" s="107" t="s">
        <v>123</v>
      </c>
      <c r="B34" s="108" t="s">
        <v>124</v>
      </c>
      <c r="C34" s="109" t="s">
        <v>207</v>
      </c>
      <c r="D34" s="110"/>
      <c r="E34" s="110" t="n">
        <v>1</v>
      </c>
      <c r="F34" s="108" t="s">
        <v>392</v>
      </c>
    </row>
    <row r="35" s="118" customFormat="true" ht="15.75" hidden="false" customHeight="false" outlineLevel="0" collapsed="false">
      <c r="A35" s="117" t="s">
        <v>393</v>
      </c>
      <c r="B35" s="118" t="s">
        <v>88</v>
      </c>
      <c r="C35" s="118" t="s">
        <v>204</v>
      </c>
      <c r="D35" s="119"/>
      <c r="E35" s="119" t="n">
        <v>1</v>
      </c>
      <c r="F35" s="118" t="s">
        <v>382</v>
      </c>
    </row>
    <row r="36" s="118" customFormat="true" ht="15.75" hidden="false" customHeight="false" outlineLevel="0" collapsed="false">
      <c r="A36" s="117" t="s">
        <v>393</v>
      </c>
      <c r="B36" s="118" t="s">
        <v>88</v>
      </c>
      <c r="C36" s="118" t="s">
        <v>278</v>
      </c>
      <c r="D36" s="119"/>
      <c r="E36" s="119" t="n">
        <v>0</v>
      </c>
      <c r="F36" s="118" t="s">
        <v>382</v>
      </c>
    </row>
    <row r="37" s="118" customFormat="true" ht="15.75" hidden="false" customHeight="false" outlineLevel="0" collapsed="false">
      <c r="A37" s="117" t="s">
        <v>393</v>
      </c>
      <c r="B37" s="118" t="s">
        <v>88</v>
      </c>
      <c r="C37" s="118" t="s">
        <v>209</v>
      </c>
      <c r="D37" s="119"/>
      <c r="E37" s="119" t="n">
        <v>0</v>
      </c>
      <c r="F37" s="118" t="s">
        <v>382</v>
      </c>
    </row>
    <row r="38" s="118" customFormat="true" ht="15" hidden="false" customHeight="true" outlineLevel="0" collapsed="false">
      <c r="A38" s="117" t="s">
        <v>383</v>
      </c>
      <c r="B38" s="118" t="s">
        <v>65</v>
      </c>
      <c r="C38" s="118" t="s">
        <v>204</v>
      </c>
      <c r="D38" s="119"/>
      <c r="E38" s="119" t="n">
        <v>1</v>
      </c>
      <c r="F38" s="118" t="s">
        <v>382</v>
      </c>
    </row>
    <row r="39" s="118" customFormat="true" ht="15.75" hidden="false" customHeight="false" outlineLevel="0" collapsed="false">
      <c r="A39" s="117" t="s">
        <v>383</v>
      </c>
      <c r="B39" s="118" t="s">
        <v>65</v>
      </c>
      <c r="C39" s="118" t="s">
        <v>278</v>
      </c>
      <c r="D39" s="119"/>
      <c r="E39" s="119" t="n">
        <v>0</v>
      </c>
      <c r="F39" s="118" t="s">
        <v>382</v>
      </c>
    </row>
    <row r="40" s="118" customFormat="true" ht="15.75" hidden="false" customHeight="false" outlineLevel="0" collapsed="false">
      <c r="A40" s="117" t="s">
        <v>383</v>
      </c>
      <c r="B40" s="118" t="s">
        <v>65</v>
      </c>
      <c r="C40" s="118" t="s">
        <v>209</v>
      </c>
      <c r="D40" s="119"/>
      <c r="E40" s="119" t="n">
        <v>0</v>
      </c>
      <c r="F40" s="118" t="s">
        <v>382</v>
      </c>
    </row>
    <row r="41" s="118" customFormat="true" ht="15.75" hidden="false" customHeight="false" outlineLevel="0" collapsed="false">
      <c r="A41" s="117" t="s">
        <v>394</v>
      </c>
      <c r="B41" s="118" t="s">
        <v>54</v>
      </c>
      <c r="C41" s="118" t="s">
        <v>211</v>
      </c>
      <c r="D41" s="119"/>
      <c r="E41" s="119" t="n">
        <v>1</v>
      </c>
      <c r="F41" s="118" t="s">
        <v>382</v>
      </c>
    </row>
    <row r="42" s="118" customFormat="true" ht="15.75" hidden="false" customHeight="false" outlineLevel="0" collapsed="false">
      <c r="A42" s="117" t="s">
        <v>394</v>
      </c>
      <c r="B42" s="118" t="s">
        <v>54</v>
      </c>
      <c r="C42" s="118" t="s">
        <v>218</v>
      </c>
      <c r="D42" s="119"/>
      <c r="E42" s="119" t="n">
        <v>0</v>
      </c>
      <c r="F42" s="118" t="s">
        <v>382</v>
      </c>
    </row>
    <row r="43" s="118" customFormat="true" ht="15.75" hidden="false" customHeight="false" outlineLevel="0" collapsed="false">
      <c r="A43" s="117" t="s">
        <v>394</v>
      </c>
      <c r="B43" s="118" t="s">
        <v>54</v>
      </c>
      <c r="C43" s="118" t="s">
        <v>209</v>
      </c>
      <c r="D43" s="119"/>
      <c r="E43" s="119" t="n">
        <v>0</v>
      </c>
      <c r="F43" s="118" t="s">
        <v>382</v>
      </c>
    </row>
    <row r="44" s="113" customFormat="true" ht="18.75" hidden="false" customHeight="true" outlineLevel="0" collapsed="false">
      <c r="A44" s="112" t="s">
        <v>383</v>
      </c>
      <c r="B44" s="113" t="s">
        <v>62</v>
      </c>
      <c r="C44" s="113" t="s">
        <v>204</v>
      </c>
      <c r="D44" s="114"/>
      <c r="E44" s="114" t="n">
        <v>1</v>
      </c>
      <c r="F44" s="113" t="s">
        <v>395</v>
      </c>
    </row>
    <row r="45" s="113" customFormat="true" ht="15.75" hidden="false" customHeight="false" outlineLevel="0" collapsed="false">
      <c r="A45" s="112" t="s">
        <v>383</v>
      </c>
      <c r="B45" s="113" t="s">
        <v>62</v>
      </c>
      <c r="C45" s="113" t="s">
        <v>206</v>
      </c>
      <c r="D45" s="114"/>
      <c r="E45" s="114" t="n">
        <v>0</v>
      </c>
      <c r="F45" s="113" t="s">
        <v>395</v>
      </c>
    </row>
    <row r="46" s="113" customFormat="true" ht="15.75" hidden="false" customHeight="false" outlineLevel="0" collapsed="false">
      <c r="A46" s="112" t="s">
        <v>383</v>
      </c>
      <c r="B46" s="113" t="s">
        <v>62</v>
      </c>
      <c r="C46" s="113" t="s">
        <v>207</v>
      </c>
      <c r="D46" s="114"/>
      <c r="E46" s="114" t="n">
        <v>0</v>
      </c>
      <c r="F46" s="113" t="s">
        <v>395</v>
      </c>
    </row>
    <row r="47" s="113" customFormat="true" ht="15" hidden="false" customHeight="true" outlineLevel="0" collapsed="false">
      <c r="A47" s="112" t="s">
        <v>383</v>
      </c>
      <c r="B47" s="113" t="s">
        <v>63</v>
      </c>
      <c r="C47" s="113" t="s">
        <v>204</v>
      </c>
      <c r="D47" s="114"/>
      <c r="E47" s="114" t="n">
        <v>1</v>
      </c>
      <c r="F47" s="113" t="s">
        <v>395</v>
      </c>
    </row>
    <row r="48" s="113" customFormat="true" ht="15.75" hidden="false" customHeight="false" outlineLevel="0" collapsed="false">
      <c r="A48" s="112" t="s">
        <v>383</v>
      </c>
      <c r="B48" s="113" t="s">
        <v>63</v>
      </c>
      <c r="C48" s="113" t="s">
        <v>206</v>
      </c>
      <c r="D48" s="114"/>
      <c r="E48" s="114" t="n">
        <v>0</v>
      </c>
      <c r="F48" s="113" t="s">
        <v>395</v>
      </c>
    </row>
    <row r="49" s="113" customFormat="true" ht="15.75" hidden="false" customHeight="false" outlineLevel="0" collapsed="false">
      <c r="A49" s="112" t="s">
        <v>383</v>
      </c>
      <c r="B49" s="113" t="s">
        <v>63</v>
      </c>
      <c r="C49" s="113" t="s">
        <v>207</v>
      </c>
      <c r="D49" s="114"/>
      <c r="E49" s="114" t="n">
        <v>0</v>
      </c>
      <c r="F49" s="113" t="s">
        <v>395</v>
      </c>
    </row>
    <row r="51" s="120" customFormat="true" ht="15.75" hidden="false" customHeight="false" outlineLevel="0" collapsed="false">
      <c r="A51" s="120" t="s">
        <v>396</v>
      </c>
      <c r="E51" s="121"/>
    </row>
    <row r="52" s="120" customFormat="true" ht="15.75" hidden="false" customHeight="false" outlineLevel="0" collapsed="false">
      <c r="A52" s="120" t="s">
        <v>397</v>
      </c>
      <c r="E52" s="121"/>
    </row>
    <row r="53" s="120" customFormat="true" ht="15.75" hidden="false" customHeight="false" outlineLevel="0" collapsed="false">
      <c r="A53" s="120" t="s">
        <v>398</v>
      </c>
      <c r="E53" s="121"/>
    </row>
    <row r="54" s="120" customFormat="true" ht="15.75" hidden="false" customHeight="false" outlineLevel="0" collapsed="false">
      <c r="A54" s="120" t="s">
        <v>399</v>
      </c>
      <c r="E54" s="121"/>
    </row>
    <row r="55" s="122" customFormat="true" ht="15.75" hidden="false" customHeight="false" outlineLevel="0" collapsed="false">
      <c r="A55" s="120" t="s">
        <v>400</v>
      </c>
      <c r="E55" s="123"/>
    </row>
    <row r="56" s="120" customFormat="true" ht="15.75" hidden="false" customHeight="false" outlineLevel="0" collapsed="false">
      <c r="A56" s="120" t="s">
        <v>401</v>
      </c>
      <c r="E56" s="12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9"/>
  <sheetViews>
    <sheetView showFormulas="false" showGridLines="true" showRowColHeaders="true" showZeros="true" rightToLeft="false" tabSelected="true" showOutlineSymbols="true" defaultGridColor="true" view="normal" topLeftCell="A7" colorId="64" zoomScale="80" zoomScaleNormal="80" zoomScalePageLayoutView="100" workbookViewId="0">
      <selection pane="topLeft" activeCell="B65" activeCellId="0" sqref="B65"/>
    </sheetView>
  </sheetViews>
  <sheetFormatPr defaultColWidth="20.14453125" defaultRowHeight="15.75" zeroHeight="false" outlineLevelRow="0" outlineLevelCol="0"/>
  <cols>
    <col collapsed="false" customWidth="true" hidden="false" outlineLevel="0" max="1" min="1" style="40" width="35.72"/>
    <col collapsed="false" customWidth="true" hidden="false" outlineLevel="0" max="2" min="2" style="40" width="23.15"/>
    <col collapsed="false" customWidth="true" hidden="false" outlineLevel="0" max="3" min="3" style="40" width="14.86"/>
    <col collapsed="false" customWidth="true" hidden="false" outlineLevel="0" max="4" min="4" style="124" width="14.43"/>
    <col collapsed="false" customWidth="true" hidden="false" outlineLevel="0" max="5" min="5" style="125" width="24"/>
    <col collapsed="false" customWidth="true" hidden="false" outlineLevel="0" max="6" min="6" style="42" width="53.57"/>
    <col collapsed="false" customWidth="true" hidden="false" outlineLevel="0" max="7" min="7" style="40" width="48.14"/>
    <col collapsed="false" customWidth="true" hidden="false" outlineLevel="0" max="8" min="8" style="40" width="61.71"/>
    <col collapsed="false" customWidth="true" hidden="false" outlineLevel="0" max="9" min="9" style="40" width="105.14"/>
    <col collapsed="false" customWidth="false" hidden="false" outlineLevel="0" max="1023" min="10" style="40" width="20.14"/>
    <col collapsed="false" customWidth="true" hidden="false" outlineLevel="0" max="1024" min="1024" style="0" width="11.57"/>
  </cols>
  <sheetData>
    <row r="1" s="128" customFormat="true" ht="15.75" hidden="false" customHeight="false" outlineLevel="0" collapsed="false">
      <c r="A1" s="126" t="s">
        <v>0</v>
      </c>
      <c r="B1" s="126" t="s">
        <v>1</v>
      </c>
      <c r="C1" s="126" t="s">
        <v>200</v>
      </c>
      <c r="D1" s="109" t="s">
        <v>201</v>
      </c>
      <c r="E1" s="127" t="s">
        <v>2</v>
      </c>
      <c r="F1" s="126" t="s">
        <v>202</v>
      </c>
    </row>
    <row r="2" s="132" customFormat="true" ht="15.75" hidden="false" customHeight="false" outlineLevel="0" collapsed="false">
      <c r="A2" s="129" t="s">
        <v>35</v>
      </c>
      <c r="B2" s="129" t="s">
        <v>39</v>
      </c>
      <c r="C2" s="129" t="s">
        <v>207</v>
      </c>
      <c r="D2" s="130"/>
      <c r="E2" s="131" t="n">
        <v>1</v>
      </c>
      <c r="F2" s="129" t="s">
        <v>402</v>
      </c>
    </row>
    <row r="3" s="132" customFormat="true" ht="15.75" hidden="false" customHeight="false" outlineLevel="0" collapsed="false">
      <c r="A3" s="129" t="s">
        <v>35</v>
      </c>
      <c r="B3" s="129" t="s">
        <v>39</v>
      </c>
      <c r="C3" s="129" t="s">
        <v>213</v>
      </c>
      <c r="D3" s="130"/>
      <c r="E3" s="131" t="n">
        <v>0</v>
      </c>
      <c r="F3" s="129" t="s">
        <v>402</v>
      </c>
    </row>
    <row r="4" s="132" customFormat="true" ht="15.75" hidden="false" customHeight="false" outlineLevel="0" collapsed="false">
      <c r="A4" s="129" t="s">
        <v>35</v>
      </c>
      <c r="B4" s="129" t="s">
        <v>39</v>
      </c>
      <c r="C4" s="129" t="s">
        <v>204</v>
      </c>
      <c r="D4" s="130"/>
      <c r="E4" s="131" t="n">
        <v>0</v>
      </c>
      <c r="F4" s="129" t="s">
        <v>402</v>
      </c>
    </row>
    <row r="5" s="132" customFormat="true" ht="15.75" hidden="false" customHeight="false" outlineLevel="0" collapsed="false">
      <c r="A5" s="129" t="s">
        <v>35</v>
      </c>
      <c r="B5" s="129" t="s">
        <v>38</v>
      </c>
      <c r="C5" s="129" t="s">
        <v>209</v>
      </c>
      <c r="D5" s="130"/>
      <c r="E5" s="131" t="n">
        <v>1</v>
      </c>
      <c r="F5" s="129" t="s">
        <v>402</v>
      </c>
    </row>
    <row r="6" s="132" customFormat="true" ht="15.75" hidden="false" customHeight="false" outlineLevel="0" collapsed="false">
      <c r="A6" s="129" t="s">
        <v>35</v>
      </c>
      <c r="B6" s="129" t="s">
        <v>38</v>
      </c>
      <c r="C6" s="129" t="s">
        <v>276</v>
      </c>
      <c r="D6" s="130"/>
      <c r="E6" s="131" t="n">
        <v>0</v>
      </c>
      <c r="F6" s="129" t="s">
        <v>402</v>
      </c>
    </row>
    <row r="7" s="132" customFormat="true" ht="15.75" hidden="false" customHeight="false" outlineLevel="0" collapsed="false">
      <c r="A7" s="129" t="s">
        <v>35</v>
      </c>
      <c r="B7" s="129" t="s">
        <v>38</v>
      </c>
      <c r="C7" s="129" t="s">
        <v>207</v>
      </c>
      <c r="D7" s="130"/>
      <c r="E7" s="131" t="n">
        <v>0</v>
      </c>
      <c r="F7" s="129" t="s">
        <v>402</v>
      </c>
    </row>
    <row r="8" s="132" customFormat="true" ht="18" hidden="false" customHeight="true" outlineLevel="0" collapsed="false">
      <c r="A8" s="129" t="s">
        <v>13</v>
      </c>
      <c r="B8" s="129" t="s">
        <v>403</v>
      </c>
      <c r="C8" s="129" t="s">
        <v>209</v>
      </c>
      <c r="D8" s="130"/>
      <c r="E8" s="131" t="n">
        <v>1</v>
      </c>
      <c r="F8" s="129" t="s">
        <v>402</v>
      </c>
    </row>
    <row r="9" s="132" customFormat="true" ht="18" hidden="false" customHeight="true" outlineLevel="0" collapsed="false">
      <c r="A9" s="129" t="s">
        <v>13</v>
      </c>
      <c r="B9" s="129" t="s">
        <v>403</v>
      </c>
      <c r="C9" s="129" t="s">
        <v>210</v>
      </c>
      <c r="D9" s="130"/>
      <c r="E9" s="131" t="n">
        <v>0</v>
      </c>
      <c r="F9" s="129" t="s">
        <v>402</v>
      </c>
    </row>
    <row r="10" s="132" customFormat="true" ht="18" hidden="false" customHeight="true" outlineLevel="0" collapsed="false">
      <c r="A10" s="129" t="s">
        <v>13</v>
      </c>
      <c r="B10" s="129" t="s">
        <v>403</v>
      </c>
      <c r="C10" s="129" t="s">
        <v>211</v>
      </c>
      <c r="D10" s="130"/>
      <c r="E10" s="131" t="n">
        <v>0</v>
      </c>
      <c r="F10" s="129" t="s">
        <v>402</v>
      </c>
    </row>
    <row r="11" s="132" customFormat="true" ht="18.75" hidden="false" customHeight="true" outlineLevel="0" collapsed="false">
      <c r="A11" s="129" t="s">
        <v>13</v>
      </c>
      <c r="B11" s="129" t="s">
        <v>404</v>
      </c>
      <c r="C11" s="129" t="s">
        <v>204</v>
      </c>
      <c r="D11" s="130"/>
      <c r="E11" s="131" t="n">
        <v>1</v>
      </c>
      <c r="F11" s="129" t="s">
        <v>402</v>
      </c>
    </row>
    <row r="12" s="132" customFormat="true" ht="18.75" hidden="false" customHeight="true" outlineLevel="0" collapsed="false">
      <c r="A12" s="129" t="s">
        <v>13</v>
      </c>
      <c r="B12" s="129" t="s">
        <v>404</v>
      </c>
      <c r="C12" s="129" t="s">
        <v>206</v>
      </c>
      <c r="D12" s="130"/>
      <c r="E12" s="131" t="n">
        <v>0</v>
      </c>
      <c r="F12" s="129" t="s">
        <v>402</v>
      </c>
    </row>
    <row r="13" s="132" customFormat="true" ht="18.75" hidden="false" customHeight="true" outlineLevel="0" collapsed="false">
      <c r="A13" s="129" t="s">
        <v>13</v>
      </c>
      <c r="B13" s="129" t="s">
        <v>404</v>
      </c>
      <c r="C13" s="129" t="s">
        <v>207</v>
      </c>
      <c r="D13" s="130"/>
      <c r="E13" s="131" t="n">
        <v>0</v>
      </c>
      <c r="F13" s="129" t="s">
        <v>402</v>
      </c>
    </row>
    <row r="14" s="132" customFormat="true" ht="18" hidden="false" customHeight="true" outlineLevel="0" collapsed="false">
      <c r="A14" s="129" t="s">
        <v>13</v>
      </c>
      <c r="B14" s="129" t="s">
        <v>405</v>
      </c>
      <c r="C14" s="129" t="s">
        <v>211</v>
      </c>
      <c r="D14" s="130"/>
      <c r="E14" s="131" t="n">
        <v>1</v>
      </c>
      <c r="F14" s="129" t="s">
        <v>402</v>
      </c>
    </row>
    <row r="15" s="132" customFormat="true" ht="18" hidden="false" customHeight="true" outlineLevel="0" collapsed="false">
      <c r="A15" s="129" t="s">
        <v>13</v>
      </c>
      <c r="B15" s="129" t="s">
        <v>405</v>
      </c>
      <c r="C15" s="129" t="s">
        <v>218</v>
      </c>
      <c r="D15" s="130"/>
      <c r="E15" s="131" t="n">
        <v>0</v>
      </c>
      <c r="F15" s="129" t="s">
        <v>402</v>
      </c>
    </row>
    <row r="16" s="132" customFormat="true" ht="18" hidden="false" customHeight="true" outlineLevel="0" collapsed="false">
      <c r="A16" s="129" t="s">
        <v>13</v>
      </c>
      <c r="B16" s="129" t="s">
        <v>405</v>
      </c>
      <c r="C16" s="129" t="s">
        <v>209</v>
      </c>
      <c r="D16" s="130"/>
      <c r="E16" s="131" t="n">
        <v>0</v>
      </c>
      <c r="F16" s="129" t="s">
        <v>402</v>
      </c>
    </row>
    <row r="17" s="132" customFormat="true" ht="15.75" hidden="false" customHeight="false" outlineLevel="0" collapsed="false">
      <c r="A17" s="129" t="s">
        <v>59</v>
      </c>
      <c r="B17" s="129" t="s">
        <v>406</v>
      </c>
      <c r="C17" s="129" t="s">
        <v>207</v>
      </c>
      <c r="D17" s="130"/>
      <c r="E17" s="131" t="n">
        <v>1</v>
      </c>
      <c r="F17" s="129" t="s">
        <v>402</v>
      </c>
    </row>
    <row r="18" s="132" customFormat="true" ht="15.75" hidden="false" customHeight="false" outlineLevel="0" collapsed="false">
      <c r="A18" s="129" t="s">
        <v>59</v>
      </c>
      <c r="B18" s="129" t="s">
        <v>406</v>
      </c>
      <c r="C18" s="129" t="s">
        <v>272</v>
      </c>
      <c r="D18" s="130"/>
      <c r="E18" s="131" t="n">
        <v>0</v>
      </c>
      <c r="F18" s="129" t="s">
        <v>402</v>
      </c>
    </row>
    <row r="19" s="132" customFormat="true" ht="15.75" hidden="false" customHeight="false" outlineLevel="0" collapsed="false">
      <c r="A19" s="129" t="s">
        <v>59</v>
      </c>
      <c r="B19" s="129" t="s">
        <v>406</v>
      </c>
      <c r="C19" s="129" t="s">
        <v>209</v>
      </c>
      <c r="D19" s="130"/>
      <c r="E19" s="131" t="n">
        <v>0</v>
      </c>
      <c r="F19" s="129" t="s">
        <v>402</v>
      </c>
    </row>
    <row r="20" s="132" customFormat="true" ht="15.75" hidden="false" customHeight="false" outlineLevel="0" collapsed="false">
      <c r="A20" s="129" t="s">
        <v>171</v>
      </c>
      <c r="B20" s="129" t="s">
        <v>172</v>
      </c>
      <c r="C20" s="129" t="s">
        <v>211</v>
      </c>
      <c r="D20" s="130"/>
      <c r="E20" s="131" t="n">
        <v>1</v>
      </c>
      <c r="F20" s="129" t="s">
        <v>402</v>
      </c>
    </row>
    <row r="21" s="132" customFormat="true" ht="15.75" hidden="false" customHeight="false" outlineLevel="0" collapsed="false">
      <c r="A21" s="129" t="s">
        <v>171</v>
      </c>
      <c r="B21" s="129" t="s">
        <v>172</v>
      </c>
      <c r="C21" s="129" t="s">
        <v>210</v>
      </c>
      <c r="D21" s="130"/>
      <c r="E21" s="131" t="n">
        <v>0</v>
      </c>
      <c r="F21" s="129" t="s">
        <v>402</v>
      </c>
    </row>
    <row r="22" s="132" customFormat="true" ht="15.75" hidden="false" customHeight="false" outlineLevel="0" collapsed="false">
      <c r="A22" s="129" t="s">
        <v>171</v>
      </c>
      <c r="B22" s="129" t="s">
        <v>172</v>
      </c>
      <c r="C22" s="129" t="s">
        <v>209</v>
      </c>
      <c r="D22" s="130"/>
      <c r="E22" s="131" t="n">
        <v>0</v>
      </c>
      <c r="F22" s="129" t="s">
        <v>402</v>
      </c>
    </row>
    <row r="23" s="132" customFormat="true" ht="15.75" hidden="false" customHeight="false" outlineLevel="0" collapsed="false">
      <c r="A23" s="129" t="s">
        <v>171</v>
      </c>
      <c r="B23" s="129" t="s">
        <v>173</v>
      </c>
      <c r="C23" s="129" t="s">
        <v>204</v>
      </c>
      <c r="D23" s="130"/>
      <c r="E23" s="131" t="n">
        <v>1</v>
      </c>
      <c r="F23" s="129" t="s">
        <v>402</v>
      </c>
    </row>
    <row r="24" s="132" customFormat="true" ht="15.75" hidden="false" customHeight="false" outlineLevel="0" collapsed="false">
      <c r="A24" s="129" t="s">
        <v>171</v>
      </c>
      <c r="B24" s="129" t="s">
        <v>173</v>
      </c>
      <c r="C24" s="129" t="s">
        <v>206</v>
      </c>
      <c r="D24" s="130"/>
      <c r="E24" s="131" t="n">
        <v>0</v>
      </c>
      <c r="F24" s="129" t="s">
        <v>402</v>
      </c>
    </row>
    <row r="25" s="132" customFormat="true" ht="15.75" hidden="false" customHeight="false" outlineLevel="0" collapsed="false">
      <c r="A25" s="129" t="s">
        <v>171</v>
      </c>
      <c r="B25" s="129" t="s">
        <v>173</v>
      </c>
      <c r="C25" s="129" t="s">
        <v>207</v>
      </c>
      <c r="D25" s="130"/>
      <c r="E25" s="131" t="n">
        <v>0</v>
      </c>
      <c r="F25" s="129" t="s">
        <v>402</v>
      </c>
    </row>
    <row r="26" s="132" customFormat="true" ht="15.75" hidden="false" customHeight="false" outlineLevel="0" collapsed="false">
      <c r="A26" s="129" t="s">
        <v>35</v>
      </c>
      <c r="B26" s="129" t="s">
        <v>407</v>
      </c>
      <c r="C26" s="129" t="s">
        <v>209</v>
      </c>
      <c r="D26" s="130"/>
      <c r="E26" s="131" t="n">
        <v>1</v>
      </c>
      <c r="F26" s="129" t="s">
        <v>402</v>
      </c>
    </row>
    <row r="27" s="132" customFormat="true" ht="15.75" hidden="false" customHeight="false" outlineLevel="0" collapsed="false">
      <c r="A27" s="129" t="s">
        <v>35</v>
      </c>
      <c r="B27" s="129" t="s">
        <v>407</v>
      </c>
      <c r="C27" s="129" t="s">
        <v>210</v>
      </c>
      <c r="D27" s="130"/>
      <c r="E27" s="131" t="n">
        <v>0</v>
      </c>
      <c r="F27" s="129" t="s">
        <v>402</v>
      </c>
    </row>
    <row r="28" s="132" customFormat="true" ht="15.75" hidden="false" customHeight="false" outlineLevel="0" collapsed="false">
      <c r="A28" s="129" t="s">
        <v>35</v>
      </c>
      <c r="B28" s="129" t="s">
        <v>407</v>
      </c>
      <c r="C28" s="129" t="s">
        <v>211</v>
      </c>
      <c r="D28" s="130"/>
      <c r="E28" s="131" t="n">
        <v>0</v>
      </c>
      <c r="F28" s="129" t="s">
        <v>402</v>
      </c>
    </row>
    <row r="29" s="132" customFormat="true" ht="16.5" hidden="false" customHeight="true" outlineLevel="0" collapsed="false">
      <c r="A29" s="129" t="s">
        <v>35</v>
      </c>
      <c r="B29" s="129" t="s">
        <v>37</v>
      </c>
      <c r="C29" s="129" t="s">
        <v>207</v>
      </c>
      <c r="D29" s="130"/>
      <c r="E29" s="131" t="n">
        <v>-1</v>
      </c>
      <c r="F29" s="129" t="s">
        <v>402</v>
      </c>
    </row>
    <row r="30" s="132" customFormat="true" ht="16.5" hidden="false" customHeight="true" outlineLevel="0" collapsed="false">
      <c r="A30" s="129" t="s">
        <v>35</v>
      </c>
      <c r="B30" s="129" t="s">
        <v>37</v>
      </c>
      <c r="C30" s="129" t="s">
        <v>213</v>
      </c>
      <c r="D30" s="130"/>
      <c r="E30" s="131" t="n">
        <v>0</v>
      </c>
      <c r="F30" s="129" t="s">
        <v>402</v>
      </c>
    </row>
    <row r="31" s="132" customFormat="true" ht="16.5" hidden="false" customHeight="true" outlineLevel="0" collapsed="false">
      <c r="A31" s="129" t="s">
        <v>35</v>
      </c>
      <c r="B31" s="129" t="s">
        <v>37</v>
      </c>
      <c r="C31" s="129" t="s">
        <v>204</v>
      </c>
      <c r="D31" s="130"/>
      <c r="E31" s="131" t="n">
        <v>0</v>
      </c>
      <c r="F31" s="129" t="s">
        <v>402</v>
      </c>
    </row>
    <row r="32" customFormat="false" ht="15.75" hidden="false" customHeight="false" outlineLevel="0" collapsed="false">
      <c r="A32" s="108" t="s">
        <v>98</v>
      </c>
      <c r="B32" s="108" t="s">
        <v>99</v>
      </c>
      <c r="C32" s="109" t="s">
        <v>211</v>
      </c>
      <c r="D32" s="108"/>
      <c r="E32" s="133" t="n">
        <v>1</v>
      </c>
      <c r="F32" s="109" t="s">
        <v>408</v>
      </c>
    </row>
    <row r="33" customFormat="false" ht="15.75" hidden="false" customHeight="false" outlineLevel="0" collapsed="false">
      <c r="A33" s="108" t="s">
        <v>98</v>
      </c>
      <c r="B33" s="108" t="s">
        <v>99</v>
      </c>
      <c r="C33" s="109" t="s">
        <v>218</v>
      </c>
      <c r="D33" s="108"/>
      <c r="E33" s="133" t="n">
        <v>0</v>
      </c>
      <c r="F33" s="109" t="s">
        <v>408</v>
      </c>
    </row>
    <row r="34" customFormat="false" ht="15.75" hidden="false" customHeight="false" outlineLevel="0" collapsed="false">
      <c r="A34" s="108" t="s">
        <v>98</v>
      </c>
      <c r="B34" s="108" t="s">
        <v>99</v>
      </c>
      <c r="C34" s="109" t="s">
        <v>209</v>
      </c>
      <c r="D34" s="108"/>
      <c r="E34" s="133" t="n">
        <v>0</v>
      </c>
      <c r="F34" s="109" t="s">
        <v>408</v>
      </c>
    </row>
    <row r="35" customFormat="false" ht="15.75" hidden="false" customHeight="false" outlineLevel="0" collapsed="false">
      <c r="A35" s="108" t="s">
        <v>152</v>
      </c>
      <c r="B35" s="108" t="s">
        <v>153</v>
      </c>
      <c r="C35" s="109" t="s">
        <v>204</v>
      </c>
      <c r="D35" s="134"/>
      <c r="E35" s="133" t="n">
        <v>1</v>
      </c>
      <c r="F35" s="109" t="s">
        <v>408</v>
      </c>
    </row>
    <row r="36" customFormat="false" ht="15.75" hidden="false" customHeight="false" outlineLevel="0" collapsed="false">
      <c r="A36" s="108" t="s">
        <v>152</v>
      </c>
      <c r="B36" s="108" t="s">
        <v>153</v>
      </c>
      <c r="C36" s="109" t="s">
        <v>206</v>
      </c>
      <c r="D36" s="134"/>
      <c r="E36" s="133" t="n">
        <v>0</v>
      </c>
      <c r="F36" s="109" t="s">
        <v>408</v>
      </c>
    </row>
    <row r="37" customFormat="false" ht="15.75" hidden="false" customHeight="false" outlineLevel="0" collapsed="false">
      <c r="A37" s="108" t="s">
        <v>152</v>
      </c>
      <c r="B37" s="108" t="s">
        <v>153</v>
      </c>
      <c r="C37" s="109" t="s">
        <v>207</v>
      </c>
      <c r="D37" s="134"/>
      <c r="E37" s="133" t="n">
        <v>0</v>
      </c>
      <c r="F37" s="109" t="s">
        <v>408</v>
      </c>
    </row>
    <row r="38" customFormat="false" ht="15.75" hidden="false" customHeight="false" outlineLevel="0" collapsed="false">
      <c r="A38" s="108" t="s">
        <v>198</v>
      </c>
      <c r="B38" s="108" t="s">
        <v>199</v>
      </c>
      <c r="C38" s="109" t="s">
        <v>204</v>
      </c>
      <c r="D38" s="134"/>
      <c r="E38" s="133" t="n">
        <v>0</v>
      </c>
      <c r="F38" s="109" t="s">
        <v>408</v>
      </c>
    </row>
    <row r="39" customFormat="false" ht="15.75" hidden="false" customHeight="false" outlineLevel="0" collapsed="false">
      <c r="A39" s="108" t="s">
        <v>198</v>
      </c>
      <c r="B39" s="108" t="s">
        <v>199</v>
      </c>
      <c r="C39" s="109" t="s">
        <v>206</v>
      </c>
      <c r="D39" s="134"/>
      <c r="E39" s="133" t="n">
        <v>0</v>
      </c>
      <c r="F39" s="109" t="s">
        <v>408</v>
      </c>
    </row>
    <row r="40" customFormat="false" ht="15.75" hidden="false" customHeight="false" outlineLevel="0" collapsed="false">
      <c r="A40" s="108" t="s">
        <v>198</v>
      </c>
      <c r="B40" s="108" t="s">
        <v>199</v>
      </c>
      <c r="C40" s="109" t="s">
        <v>207</v>
      </c>
      <c r="D40" s="134"/>
      <c r="E40" s="133" t="n">
        <v>1</v>
      </c>
      <c r="F40" s="109" t="s">
        <v>408</v>
      </c>
    </row>
    <row r="41" customFormat="false" ht="15.75" hidden="false" customHeight="false" outlineLevel="0" collapsed="false">
      <c r="A41" s="108" t="s">
        <v>20</v>
      </c>
      <c r="B41" s="108" t="s">
        <v>21</v>
      </c>
      <c r="C41" s="109" t="s">
        <v>211</v>
      </c>
      <c r="D41" s="134"/>
      <c r="E41" s="133" t="n">
        <v>1</v>
      </c>
      <c r="F41" s="109" t="s">
        <v>408</v>
      </c>
    </row>
    <row r="42" customFormat="false" ht="15.75" hidden="false" customHeight="false" outlineLevel="0" collapsed="false">
      <c r="A42" s="108" t="s">
        <v>20</v>
      </c>
      <c r="B42" s="108" t="s">
        <v>21</v>
      </c>
      <c r="C42" s="109" t="s">
        <v>218</v>
      </c>
      <c r="D42" s="134"/>
      <c r="E42" s="133" t="n">
        <v>0</v>
      </c>
      <c r="F42" s="109" t="s">
        <v>408</v>
      </c>
    </row>
    <row r="43" customFormat="false" ht="15.75" hidden="false" customHeight="false" outlineLevel="0" collapsed="false">
      <c r="A43" s="108" t="s">
        <v>20</v>
      </c>
      <c r="B43" s="108" t="s">
        <v>21</v>
      </c>
      <c r="C43" s="109" t="s">
        <v>209</v>
      </c>
      <c r="D43" s="134"/>
      <c r="E43" s="133" t="n">
        <v>0</v>
      </c>
      <c r="F43" s="109" t="s">
        <v>408</v>
      </c>
    </row>
    <row r="44" customFormat="false" ht="15.75" hidden="false" customHeight="false" outlineLevel="0" collapsed="false">
      <c r="A44" s="108" t="s">
        <v>20</v>
      </c>
      <c r="B44" s="108" t="s">
        <v>22</v>
      </c>
      <c r="C44" s="109" t="s">
        <v>209</v>
      </c>
      <c r="D44" s="134"/>
      <c r="E44" s="133" t="n">
        <v>1</v>
      </c>
      <c r="F44" s="109" t="s">
        <v>408</v>
      </c>
    </row>
    <row r="45" customFormat="false" ht="15.75" hidden="false" customHeight="false" outlineLevel="0" collapsed="false">
      <c r="A45" s="108" t="s">
        <v>20</v>
      </c>
      <c r="B45" s="108" t="s">
        <v>22</v>
      </c>
      <c r="C45" s="109" t="s">
        <v>218</v>
      </c>
      <c r="D45" s="134"/>
      <c r="E45" s="133" t="n">
        <v>0</v>
      </c>
      <c r="F45" s="109" t="s">
        <v>408</v>
      </c>
    </row>
    <row r="46" customFormat="false" ht="15.75" hidden="false" customHeight="false" outlineLevel="0" collapsed="false">
      <c r="A46" s="108" t="s">
        <v>20</v>
      </c>
      <c r="B46" s="108" t="s">
        <v>22</v>
      </c>
      <c r="C46" s="109" t="s">
        <v>211</v>
      </c>
      <c r="D46" s="134"/>
      <c r="E46" s="133" t="n">
        <v>0</v>
      </c>
      <c r="F46" s="109" t="s">
        <v>408</v>
      </c>
    </row>
    <row r="47" customFormat="false" ht="15.75" hidden="false" customHeight="true" outlineLevel="0" collapsed="false">
      <c r="A47" s="108" t="s">
        <v>17</v>
      </c>
      <c r="B47" s="108" t="s">
        <v>18</v>
      </c>
      <c r="C47" s="109" t="s">
        <v>204</v>
      </c>
      <c r="D47" s="134"/>
      <c r="E47" s="133" t="n">
        <v>1</v>
      </c>
      <c r="F47" s="109" t="s">
        <v>409</v>
      </c>
    </row>
    <row r="48" customFormat="false" ht="15.75" hidden="false" customHeight="true" outlineLevel="0" collapsed="false">
      <c r="A48" s="108" t="s">
        <v>17</v>
      </c>
      <c r="B48" s="108" t="s">
        <v>18</v>
      </c>
      <c r="C48" s="109" t="s">
        <v>206</v>
      </c>
      <c r="D48" s="134"/>
      <c r="E48" s="133" t="n">
        <v>1</v>
      </c>
      <c r="F48" s="109" t="s">
        <v>409</v>
      </c>
    </row>
    <row r="49" customFormat="false" ht="15.75" hidden="false" customHeight="true" outlineLevel="0" collapsed="false">
      <c r="A49" s="108" t="s">
        <v>17</v>
      </c>
      <c r="B49" s="108" t="s">
        <v>18</v>
      </c>
      <c r="C49" s="109" t="s">
        <v>207</v>
      </c>
      <c r="D49" s="134"/>
      <c r="E49" s="133" t="n">
        <v>0</v>
      </c>
      <c r="F49" s="109" t="s">
        <v>409</v>
      </c>
    </row>
    <row r="50" customFormat="false" ht="15.75" hidden="false" customHeight="false" outlineLevel="0" collapsed="false">
      <c r="A50" s="108" t="s">
        <v>17</v>
      </c>
      <c r="B50" s="108" t="s">
        <v>19</v>
      </c>
      <c r="C50" s="109" t="s">
        <v>209</v>
      </c>
      <c r="D50" s="134"/>
      <c r="E50" s="133" t="n">
        <v>1</v>
      </c>
      <c r="F50" s="109" t="s">
        <v>409</v>
      </c>
    </row>
    <row r="51" customFormat="false" ht="15.75" hidden="false" customHeight="false" outlineLevel="0" collapsed="false">
      <c r="A51" s="108" t="s">
        <v>17</v>
      </c>
      <c r="B51" s="108" t="s">
        <v>19</v>
      </c>
      <c r="C51" s="109" t="s">
        <v>210</v>
      </c>
      <c r="D51" s="134"/>
      <c r="E51" s="133" t="n">
        <v>0</v>
      </c>
      <c r="F51" s="109" t="s">
        <v>409</v>
      </c>
    </row>
    <row r="52" customFormat="false" ht="15.75" hidden="false" customHeight="false" outlineLevel="0" collapsed="false">
      <c r="A52" s="108" t="s">
        <v>17</v>
      </c>
      <c r="B52" s="108" t="s">
        <v>19</v>
      </c>
      <c r="C52" s="109" t="s">
        <v>211</v>
      </c>
      <c r="D52" s="134"/>
      <c r="E52" s="133" t="n">
        <v>0</v>
      </c>
      <c r="F52" s="109" t="s">
        <v>409</v>
      </c>
    </row>
    <row r="53" customFormat="false" ht="15.75" hidden="false" customHeight="false" outlineLevel="0" collapsed="false">
      <c r="A53" s="108" t="s">
        <v>142</v>
      </c>
      <c r="B53" s="108" t="s">
        <v>143</v>
      </c>
      <c r="C53" s="108" t="s">
        <v>211</v>
      </c>
      <c r="D53" s="135"/>
      <c r="E53" s="133" t="n">
        <v>0</v>
      </c>
      <c r="F53" s="108" t="s">
        <v>410</v>
      </c>
    </row>
    <row r="54" customFormat="false" ht="15.75" hidden="false" customHeight="false" outlineLevel="0" collapsed="false">
      <c r="A54" s="108" t="s">
        <v>142</v>
      </c>
      <c r="B54" s="108" t="s">
        <v>143</v>
      </c>
      <c r="C54" s="108" t="s">
        <v>218</v>
      </c>
      <c r="D54" s="135"/>
      <c r="E54" s="133" t="n">
        <v>1</v>
      </c>
      <c r="F54" s="108" t="s">
        <v>410</v>
      </c>
    </row>
    <row r="55" customFormat="false" ht="15.75" hidden="false" customHeight="false" outlineLevel="0" collapsed="false">
      <c r="A55" s="108" t="s">
        <v>142</v>
      </c>
      <c r="B55" s="108" t="s">
        <v>143</v>
      </c>
      <c r="C55" s="108" t="s">
        <v>209</v>
      </c>
      <c r="D55" s="135"/>
      <c r="E55" s="133" t="n">
        <v>1</v>
      </c>
      <c r="F55" s="108" t="s">
        <v>410</v>
      </c>
    </row>
    <row r="56" customFormat="false" ht="15.75" hidden="false" customHeight="false" outlineLevel="0" collapsed="false">
      <c r="A56" s="6"/>
      <c r="B56" s="7"/>
    </row>
    <row r="57" customFormat="false" ht="15.75" hidden="false" customHeight="false" outlineLevel="0" collapsed="false">
      <c r="A57" s="6"/>
      <c r="B57" s="7"/>
    </row>
    <row r="59" s="27" customFormat="true" ht="15.75" hidden="false" customHeight="false" outlineLevel="0" collapsed="false">
      <c r="A59" s="27" t="s">
        <v>411</v>
      </c>
      <c r="B59" s="27" t="s">
        <v>412</v>
      </c>
      <c r="C59" s="136"/>
      <c r="D59" s="137"/>
      <c r="E59" s="138"/>
      <c r="F59" s="139"/>
    </row>
    <row r="60" s="140" customFormat="true" ht="15.75" hidden="false" customHeight="false" outlineLevel="0" collapsed="false">
      <c r="A60" s="140" t="s">
        <v>413</v>
      </c>
      <c r="B60" s="140" t="s">
        <v>414</v>
      </c>
      <c r="C60" s="136"/>
      <c r="D60" s="141"/>
      <c r="E60" s="142"/>
      <c r="F60" s="143"/>
    </row>
    <row r="61" customFormat="false" ht="15.75" hidden="false" customHeight="false" outlineLevel="0" collapsed="false">
      <c r="A61" s="2" t="s">
        <v>415</v>
      </c>
      <c r="B61" s="40" t="s">
        <v>330</v>
      </c>
    </row>
    <row r="62" customFormat="false" ht="15.75" hidden="false" customHeight="false" outlineLevel="0" collapsed="false">
      <c r="A62" s="4" t="s">
        <v>416</v>
      </c>
      <c r="B62" s="40" t="s">
        <v>417</v>
      </c>
    </row>
    <row r="63" customFormat="false" ht="15.75" hidden="false" customHeight="false" outlineLevel="0" collapsed="false">
      <c r="A63" s="4" t="s">
        <v>418</v>
      </c>
    </row>
    <row r="64" customFormat="false" ht="15.75" hidden="false" customHeight="false" outlineLevel="0" collapsed="false">
      <c r="A64" s="4" t="s">
        <v>419</v>
      </c>
      <c r="B64" s="40" t="s">
        <v>420</v>
      </c>
    </row>
    <row r="65" customFormat="false" ht="15.75" hidden="false" customHeight="false" outlineLevel="0" collapsed="false">
      <c r="A65" s="40" t="s">
        <v>421</v>
      </c>
      <c r="B65" s="40" t="s">
        <v>422</v>
      </c>
    </row>
    <row r="70" customFormat="false" ht="15.75" hidden="false" customHeight="false" outlineLevel="0" collapsed="false">
      <c r="B70" s="132"/>
    </row>
    <row r="71" customFormat="false" ht="15.75" hidden="false" customHeight="false" outlineLevel="0" collapsed="false">
      <c r="B71" s="132"/>
    </row>
    <row r="72" customFormat="false" ht="15.75" hidden="false" customHeight="false" outlineLevel="0" collapsed="false">
      <c r="B72" s="132"/>
    </row>
    <row r="73" customFormat="false" ht="15.75" hidden="false" customHeight="false" outlineLevel="0" collapsed="false">
      <c r="B73" s="132"/>
    </row>
    <row r="74" customFormat="false" ht="15.75" hidden="false" customHeight="false" outlineLevel="0" collapsed="false">
      <c r="B74" s="132"/>
    </row>
    <row r="79" customFormat="false" ht="15.75" hidden="false" customHeight="false" outlineLevel="0" collapsed="false">
      <c r="E79" s="125" t="s">
        <v>423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2026-02-04T15:30:14Z</dcterms:created>
  <dc:creator>Katia Margiotti</dc:creator>
  <dc:description/>
  <dc:language>en-US</dc:language>
  <cp:lastModifiedBy/>
  <dcterms:modified xsi:type="dcterms:W3CDTF">2026-02-19T18:33:23Z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